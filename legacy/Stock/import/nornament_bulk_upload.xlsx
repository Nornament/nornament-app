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Read me" sheetId="1" state="visible" r:id="rId3"/>
    <sheet name="Reference" sheetId="2" state="visible" r:id="rId4"/>
    <sheet name="1 Pieces" sheetId="3" state="visible" r:id="rId5"/>
    <sheet name="2 BOM lines" sheetId="4" state="visible" r:id="rId6"/>
    <sheet name="3 Check" sheetId="5" state="visible" r:id="rId7"/>
    <sheet name="4 Phot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<sst xmlns="http://schemas.openxmlformats.org/spreadsheetml/2006/main" count="194" uniqueCount="130">
  <si>
    <t xml:space="preserve">Nornament - bulk upload template</t>
  </si>
  <si>
    <t xml:space="preserve">Fill the YELLOW cells. Blue italic rows are examples - delete them before sending back.</t>
  </si>
  <si>
    <t xml:space="preserve">1 Pieces      One row per physical piece. A jewel code is ONE piece, never a quantity.</t>
  </si>
  <si>
    <t xml:space="preserve">2 BOM lines   One row per material inside a piece. Repeat the jewel code on each line.</t>
  </si>
  <si>
    <t xml:space="preserve">3 Check       Reads the other sheets and tells you if a piece does not add up. Do not type here.</t>
  </si>
  <si>
    <t xml:space="preserve">4 Photos      Which file belongs to which piece.</t>
  </si>
  <si>
    <t xml:space="preserve">Reference     The valid values, pulled from your database. Do not edit.</t>
  </si>
  <si>
    <t xml:space="preserve">The three rules worth knowing</t>
  </si>
  <si>
    <t xml:space="preserve">Units are not interchangeable. Diamonds and polki are CT, gold is GM. Sheet 3 converts them</t>
  </si>
  <si>
    <t xml:space="preserve">properly and compares against your gross weight. Your old sheet added carats to grams and got</t>
  </si>
  <si>
    <t xml:space="preserve">22.45 for a piece that weighs 12.370 g. That cannot happen here.</t>
  </si>
  <si>
    <t xml:space="preserve">Gold carries no karat in the material list. Karat lives on the PIECE, so one gold row serves</t>
  </si>
  <si>
    <t xml:space="preserve">14K, 18K and 22K, and an 18K piece can never be priced off a 14K line.</t>
  </si>
  <si>
    <t xml:space="preserve">Making charge is computed, not typed. Add a MAKING row with basis BY_NET_METAL_WT and leave</t>
  </si>
  <si>
    <t xml:space="preserve">qty blank. It is charged on net metal weight, never on gross.</t>
  </si>
  <si>
    <t xml:space="preserve">Photographs</t>
  </si>
  <si>
    <t xml:space="preserve">Name files jewel_code_angle.jpg. Under 5 MB each - resize before uploading. A phone photo</t>
  </si>
  <si>
    <t xml:space="preserve">straight off the camera is usually 8-12 MB and will be rejected.</t>
  </si>
  <si>
    <t xml:space="preserve">Reference lists - do not edit. These come from your live database.</t>
  </si>
  <si>
    <t xml:space="preserve">Category</t>
  </si>
  <si>
    <t xml:space="preserve">Location</t>
  </si>
  <si>
    <t xml:space="preserve">Karat</t>
  </si>
  <si>
    <t xml:space="preserve">Metal colour</t>
  </si>
  <si>
    <t xml:space="preserve">Material code</t>
  </si>
  <si>
    <t xml:space="preserve">Unit</t>
  </si>
  <si>
    <t xml:space="preserve">Basis</t>
  </si>
  <si>
    <t xml:space="preserve">Material</t>
  </si>
  <si>
    <t xml:space="preserve">Description</t>
  </si>
  <si>
    <t xml:space="preserve">Cost rate</t>
  </si>
  <si>
    <t xml:space="preserve">Sale rate</t>
  </si>
  <si>
    <t xml:space="preserve">Earrings</t>
  </si>
  <si>
    <t xml:space="preserve">HO</t>
  </si>
  <si>
    <t xml:space="preserve">14K</t>
  </si>
  <si>
    <t xml:space="preserve">Yellow</t>
  </si>
  <si>
    <t xml:space="preserve">DRKL SI-I</t>
  </si>
  <si>
    <t xml:space="preserve">CT</t>
  </si>
  <si>
    <t xml:space="preserve">BY_QTY</t>
  </si>
  <si>
    <t xml:space="preserve">Diamond RKL SI-I  (+2)</t>
  </si>
  <si>
    <t xml:space="preserve">Necklaces</t>
  </si>
  <si>
    <t xml:space="preserve">MUM</t>
  </si>
  <si>
    <t xml:space="preserve">18K</t>
  </si>
  <si>
    <t xml:space="preserve">Rose</t>
  </si>
  <si>
    <t xml:space="preserve">DTBFGH VS-SI</t>
  </si>
  <si>
    <t xml:space="preserve">GM</t>
  </si>
  <si>
    <t xml:space="preserve">BY_NET_METAL_WT</t>
  </si>
  <si>
    <t xml:space="preserve">Diamond TBFGH VS-SI  (-2BG)</t>
  </si>
  <si>
    <t xml:space="preserve">Rings</t>
  </si>
  <si>
    <t xml:space="preserve">KOL</t>
  </si>
  <si>
    <t xml:space="preserve">22K</t>
  </si>
  <si>
    <t xml:space="preserve">White</t>
  </si>
  <si>
    <t xml:space="preserve">FPL</t>
  </si>
  <si>
    <t xml:space="preserve">RATTI</t>
  </si>
  <si>
    <t xml:space="preserve">BY_PIECE</t>
  </si>
  <si>
    <t xml:space="preserve">Foil Polki  (+24-36)</t>
  </si>
  <si>
    <t xml:space="preserve">Bangles / Bracelets</t>
  </si>
  <si>
    <t xml:space="preserve">WS1</t>
  </si>
  <si>
    <t xml:space="preserve">24K</t>
  </si>
  <si>
    <t xml:space="preserve">G</t>
  </si>
  <si>
    <t xml:space="preserve">PCS</t>
  </si>
  <si>
    <t xml:space="preserve">Foil Polki  (+36-44)</t>
  </si>
  <si>
    <t xml:space="preserve">Brooch</t>
  </si>
  <si>
    <t xml:space="preserve">GC</t>
  </si>
  <si>
    <t xml:space="preserve">Gold - karat comes from the piece</t>
  </si>
  <si>
    <t xml:space="preserve">live</t>
  </si>
  <si>
    <t xml:space="preserve">Mangalsutras / Chains</t>
  </si>
  <si>
    <t xml:space="preserve">SP01RG</t>
  </si>
  <si>
    <t xml:space="preserve">Gold Chakri</t>
  </si>
  <si>
    <t xml:space="preserve">Pendant Sets</t>
  </si>
  <si>
    <t xml:space="preserve">MAKING</t>
  </si>
  <si>
    <t xml:space="preserve">Stone Semi Precious 01RG</t>
  </si>
  <si>
    <t xml:space="preserve">Making Charge (on net metal weight)</t>
  </si>
  <si>
    <t xml:space="preserve">Gold sale rate is derived live: pure 24K rate x sale purity (22K 92.5%, 18K 76%, 14K 59%).</t>
  </si>
  <si>
    <t xml:space="preserve">ONE ROW PER PHYSICAL PIECE</t>
  </si>
  <si>
    <t xml:space="preserve">One jewel code = one piece. Fill the yellow columns. Row 5 is an example - delete it before sending back. Style code repeats when several pieces share a design.</t>
  </si>
  <si>
    <t xml:space="preserve">jewel_code</t>
  </si>
  <si>
    <t xml:space="preserve">style_code</t>
  </si>
  <si>
    <t xml:space="preserve">design_name</t>
  </si>
  <si>
    <t xml:space="preserve">category</t>
  </si>
  <si>
    <t xml:space="preserve">karat</t>
  </si>
  <si>
    <t xml:space="preserve">metal_colour</t>
  </si>
  <si>
    <t xml:space="preserve">diamond_quality</t>
  </si>
  <si>
    <t xml:space="preserve">gross_wt_gm</t>
  </si>
  <si>
    <t xml:space="preserve">location</t>
  </si>
  <si>
    <t xml:space="preserve">received_on</t>
  </si>
  <si>
    <t xml:space="preserve">huid</t>
  </si>
  <si>
    <t xml:space="preserve">length_mm</t>
  </si>
  <si>
    <t xml:space="preserve">breadth_mm</t>
  </si>
  <si>
    <t xml:space="preserve">height_mm</t>
  </si>
  <si>
    <t xml:space="preserve">photo_file_1</t>
  </si>
  <si>
    <t xml:space="preserve">remarks</t>
  </si>
  <si>
    <t xml:space="preserve">ER00123</t>
  </si>
  <si>
    <t xml:space="preserve">ER00135</t>
  </si>
  <si>
    <t xml:space="preserve">Emerald floral polki earring</t>
  </si>
  <si>
    <t xml:space="preserve">VS-SI</t>
  </si>
  <si>
    <t xml:space="preserve">2026-04-02</t>
  </si>
  <si>
    <t xml:space="preserve">HU7X4K</t>
  </si>
  <si>
    <t xml:space="preserve">ER00123_front.jpg</t>
  </si>
  <si>
    <t xml:space="preserve">example row - delete me</t>
  </si>
  <si>
    <t xml:space="preserve">ONE ROW PER MATERIAL LINE</t>
  </si>
  <si>
    <t xml:space="preserve">Repeat the jewel_code for every material in that piece. Diamonds and polki in CT, gold in GM. Add one MAKING row per piece with basis BY_NET_METAL_WT and leave qty blank - it is computed.</t>
  </si>
  <si>
    <t xml:space="preserve">line_no</t>
  </si>
  <si>
    <t xml:space="preserve">material_code</t>
  </si>
  <si>
    <t xml:space="preserve">size_band</t>
  </si>
  <si>
    <t xml:space="preserve">pcs</t>
  </si>
  <si>
    <t xml:space="preserve">qty</t>
  </si>
  <si>
    <t xml:space="preserve">uom</t>
  </si>
  <si>
    <t xml:space="preserve">basis</t>
  </si>
  <si>
    <t xml:space="preserve">cost_rate</t>
  </si>
  <si>
    <t xml:space="preserve">+2</t>
  </si>
  <si>
    <t xml:space="preserve">-2BG</t>
  </si>
  <si>
    <t xml:space="preserve">+24-36</t>
  </si>
  <si>
    <t xml:space="preserve">+36-44</t>
  </si>
  <si>
    <t xml:space="preserve">gold; karat from the piece</t>
  </si>
  <si>
    <t xml:space="preserve">qty left blank on purpose</t>
  </si>
  <si>
    <t xml:space="preserve">WEIGHT RECONCILIATION - the check that catches a wrong line</t>
  </si>
  <si>
    <t xml:space="preserve">Converts every BOM line to grams and compares it against the gross weight you typed. A piece that fails here has a mistake in it. Fix it before sending the file back - the importer rejects it anyway.</t>
  </si>
  <si>
    <t xml:space="preserve">gross_wt_gm typed</t>
  </si>
  <si>
    <t xml:space="preserve">BOM weight (g)</t>
  </si>
  <si>
    <t xml:space="preserve">difference</t>
  </si>
  <si>
    <t xml:space="preserve">verdict</t>
  </si>
  <si>
    <t xml:space="preserve">PHOTO NAMING</t>
  </si>
  <si>
    <t xml:space="preserve">Name every file jewel_code_angle.jpg - e.g. ER00123_front.jpg. That is what links a photograph to a piece. Keep each file under 5 MB; anything larger is rejected on upload.</t>
  </si>
  <si>
    <t xml:space="preserve">file_name</t>
  </si>
  <si>
    <t xml:space="preserve">angle</t>
  </si>
  <si>
    <t xml:space="preserve">rank</t>
  </si>
  <si>
    <t xml:space="preserve">FRONT</t>
  </si>
  <si>
    <t xml:space="preserve">ER00123_side.jpg</t>
  </si>
  <si>
    <t xml:space="preserve">SIDE</t>
  </si>
  <si>
    <t xml:space="preserve">ER00123_model.jpg</t>
  </si>
  <si>
    <t xml:space="preserve">ON_MODEL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</si>
</sst>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A6D2F"/>
        <bgColor rgb="FF808080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2F"/>
      <rgbColor rgb="FF800080"/>
      <rgbColor rgb="FF008080"/>
      <rgbColor rgb="FFC0C0C0"/>
      <rgbColor rgb="FF808080"/>
      <rgbColor rgb="FF9999FF"/>
      <rgbColor rgb="FF993366"/>
      <rgbColor rgb="FFFFF9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2" t="s">
        <v>12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 t="s">
        <v>13</v>
      </c>
    </row>
    <row r="21" customFormat="false" ht="15" hidden="false" customHeight="false" outlineLevel="0" collapsed="false">
      <c r="A21" s="2" t="s">
        <v>14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4" t="s">
        <v>15</v>
      </c>
    </row>
    <row r="24" customFormat="false" ht="15" hidden="false" customHeight="false" outlineLevel="0" collapsed="false">
      <c r="A24" s="2" t="s">
        <v>16</v>
      </c>
    </row>
    <row r="25" customFormat="false" ht="15" hidden="false" customHeight="false" outlineLevel="0" collapsed="false">
      <c r="A25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  <col collapsed="false" customWidth="true" hidden="false" outlineLevel="0" max="13" min="9" style="0" width="22"/>
  </cols>
  <sheetData>
    <row r="1" customFormat="false" ht="15" hidden="false" customHeight="false" outlineLevel="0" collapsed="false">
      <c r="A1" s="4" t="s">
        <v>18</v>
      </c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I3" s="5" t="s">
        <v>26</v>
      </c>
      <c r="J3" s="5" t="s">
        <v>27</v>
      </c>
      <c r="K3" s="5" t="s">
        <v>24</v>
      </c>
      <c r="L3" s="5" t="s">
        <v>28</v>
      </c>
      <c r="M3" s="5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I4" s="2" t="s">
        <v>34</v>
      </c>
      <c r="J4" s="2" t="s">
        <v>37</v>
      </c>
      <c r="K4" s="2" t="s">
        <v>35</v>
      </c>
      <c r="L4" s="2" t="n">
        <v>8500</v>
      </c>
      <c r="M4" s="2" t="n">
        <v>20000</v>
      </c>
    </row>
    <row r="5" customFormat="false" ht="15" hidden="false" customHeight="false" outlineLevel="0" collapsed="false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I5" s="2" t="s">
        <v>42</v>
      </c>
      <c r="J5" s="2" t="s">
        <v>45</v>
      </c>
      <c r="K5" s="2" t="s">
        <v>35</v>
      </c>
      <c r="L5" s="2" t="n">
        <v>26000</v>
      </c>
      <c r="M5" s="2" t="n">
        <v>50000</v>
      </c>
    </row>
    <row r="6" customFormat="false" ht="15" hidden="false" customHeight="false" outlineLevel="0" collapsed="fals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I6" s="2" t="s">
        <v>50</v>
      </c>
      <c r="J6" s="2" t="s">
        <v>53</v>
      </c>
      <c r="K6" s="2" t="s">
        <v>35</v>
      </c>
      <c r="L6" s="2" t="n">
        <v>9000</v>
      </c>
      <c r="M6" s="2" t="n">
        <v>23000</v>
      </c>
    </row>
    <row r="7" customFormat="false" ht="15" hidden="false" customHeight="false" outlineLevel="0" collapsed="false">
      <c r="A7" s="2" t="s">
        <v>54</v>
      </c>
      <c r="B7" s="2" t="s">
        <v>55</v>
      </c>
      <c r="C7" s="2" t="s">
        <v>56</v>
      </c>
      <c r="E7" s="2" t="s">
        <v>57</v>
      </c>
      <c r="F7" s="2" t="s">
        <v>58</v>
      </c>
      <c r="I7" s="2" t="s">
        <v>50</v>
      </c>
      <c r="J7" s="2" t="s">
        <v>59</v>
      </c>
      <c r="K7" s="2" t="s">
        <v>35</v>
      </c>
      <c r="L7" s="2" t="n">
        <v>12000</v>
      </c>
      <c r="M7" s="2" t="n">
        <v>40000</v>
      </c>
    </row>
    <row r="8" customFormat="false" ht="15" hidden="false" customHeight="false" outlineLevel="0" collapsed="false">
      <c r="A8" s="2" t="s">
        <v>60</v>
      </c>
      <c r="E8" s="2" t="s">
        <v>61</v>
      </c>
      <c r="I8" s="2" t="s">
        <v>57</v>
      </c>
      <c r="J8" s="2" t="s">
        <v>62</v>
      </c>
      <c r="K8" s="2" t="s">
        <v>43</v>
      </c>
      <c r="L8" s="2" t="s">
        <v>63</v>
      </c>
      <c r="M8" s="2" t="s">
        <v>63</v>
      </c>
    </row>
    <row r="9" customFormat="false" ht="15" hidden="false" customHeight="false" outlineLevel="0" collapsed="false">
      <c r="A9" s="2" t="s">
        <v>64</v>
      </c>
      <c r="E9" s="2" t="s">
        <v>65</v>
      </c>
      <c r="I9" s="2" t="s">
        <v>61</v>
      </c>
      <c r="J9" s="2" t="s">
        <v>66</v>
      </c>
      <c r="K9" s="2" t="s">
        <v>43</v>
      </c>
      <c r="L9" s="2" t="s">
        <v>63</v>
      </c>
      <c r="M9" s="2" t="s">
        <v>63</v>
      </c>
    </row>
    <row r="10" customFormat="false" ht="15" hidden="false" customHeight="false" outlineLevel="0" collapsed="false">
      <c r="A10" s="2" t="s">
        <v>67</v>
      </c>
      <c r="E10" s="2" t="s">
        <v>68</v>
      </c>
      <c r="I10" s="2" t="s">
        <v>65</v>
      </c>
      <c r="J10" s="2" t="s">
        <v>69</v>
      </c>
      <c r="K10" s="2" t="s">
        <v>35</v>
      </c>
      <c r="L10" s="2" t="n">
        <v>500</v>
      </c>
      <c r="M10" s="2" t="n">
        <v>7000</v>
      </c>
    </row>
    <row r="11" customFormat="false" ht="15" hidden="false" customHeight="false" outlineLevel="0" collapsed="false">
      <c r="I11" s="2" t="s">
        <v>68</v>
      </c>
      <c r="J11" s="2" t="s">
        <v>70</v>
      </c>
      <c r="K11" s="2" t="s">
        <v>43</v>
      </c>
      <c r="L11" s="2" t="n">
        <v>1000</v>
      </c>
      <c r="M11" s="2" t="n">
        <v>1500</v>
      </c>
    </row>
    <row r="13" customFormat="false" ht="15" hidden="false" customHeight="false" outlineLevel="0" collapsed="false">
      <c r="I13" s="6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4" min="11" style="0" width="13"/>
    <col collapsed="false" customWidth="true" hidden="false" outlineLevel="0" max="15" min="15" style="0" width="15"/>
    <col collapsed="false" customWidth="true" hidden="false" outlineLevel="0" max="16" min="16" style="0" width="13"/>
  </cols>
  <sheetData>
    <row r="1" customFormat="false" ht="16.15" hidden="false" customHeight="false" outlineLevel="0" collapsed="false">
      <c r="A1" s="1" t="s">
        <v>72</v>
      </c>
    </row>
    <row r="2" customFormat="false" ht="15" hidden="false" customHeight="false" outlineLevel="0" collapsed="false">
      <c r="A2" s="6" t="s">
        <v>73</v>
      </c>
    </row>
    <row r="4" customFormat="false" ht="15" hidden="false" customHeight="false" outlineLevel="0" collapsed="false">
      <c r="A4" s="7" t="s">
        <v>74</v>
      </c>
      <c r="B4" s="7" t="s">
        <v>75</v>
      </c>
      <c r="C4" s="7" t="s">
        <v>76</v>
      </c>
      <c r="D4" s="7" t="s">
        <v>77</v>
      </c>
      <c r="E4" s="7" t="s">
        <v>78</v>
      </c>
      <c r="F4" s="7" t="s">
        <v>79</v>
      </c>
      <c r="G4" s="7" t="s">
        <v>80</v>
      </c>
      <c r="H4" s="7" t="s">
        <v>81</v>
      </c>
      <c r="I4" s="7" t="s">
        <v>82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87</v>
      </c>
      <c r="O4" s="7" t="s">
        <v>88</v>
      </c>
      <c r="P4" s="7" t="s">
        <v>89</v>
      </c>
    </row>
    <row r="5" customFormat="false" ht="15" hidden="false" customHeight="false" outlineLevel="0" collapsed="false">
      <c r="A5" s="8" t="s">
        <v>90</v>
      </c>
      <c r="B5" s="8" t="s">
        <v>91</v>
      </c>
      <c r="C5" s="8" t="s">
        <v>92</v>
      </c>
      <c r="D5" s="8" t="s">
        <v>30</v>
      </c>
      <c r="E5" s="8" t="s">
        <v>32</v>
      </c>
      <c r="F5" s="8" t="s">
        <v>33</v>
      </c>
      <c r="G5" s="8" t="s">
        <v>93</v>
      </c>
      <c r="H5" s="8" t="n">
        <v>12.37</v>
      </c>
      <c r="I5" s="8" t="s">
        <v>39</v>
      </c>
      <c r="J5" s="8" t="s">
        <v>94</v>
      </c>
      <c r="K5" s="8" t="s">
        <v>95</v>
      </c>
      <c r="L5" s="8" t="n">
        <v>32</v>
      </c>
      <c r="M5" s="8" t="n">
        <v>18</v>
      </c>
      <c r="N5" s="8" t="n">
        <v>6</v>
      </c>
      <c r="O5" s="8" t="s">
        <v>96</v>
      </c>
      <c r="P5" s="8" t="s">
        <v>97</v>
      </c>
    </row>
    <row r="6" customFormat="false" ht="15" hidden="false" customHeight="false" outlineLevel="0" collapsed="false">
      <c r="A6" s="9"/>
      <c r="B6" s="9"/>
      <c r="C6" s="9"/>
      <c r="D6" s="9"/>
      <c r="E6" s="9"/>
      <c r="F6" s="9"/>
      <c r="G6" s="10"/>
      <c r="H6" s="9"/>
      <c r="I6" s="9"/>
      <c r="J6" s="10"/>
      <c r="K6" s="10"/>
      <c r="L6" s="10"/>
      <c r="M6" s="10"/>
      <c r="N6" s="10"/>
      <c r="O6" s="10"/>
      <c r="P6" s="10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10"/>
      <c r="H7" s="9"/>
      <c r="I7" s="9"/>
      <c r="J7" s="10"/>
      <c r="K7" s="10"/>
      <c r="L7" s="10"/>
      <c r="M7" s="10"/>
      <c r="N7" s="10"/>
      <c r="O7" s="10"/>
      <c r="P7" s="10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10"/>
      <c r="H8" s="9"/>
      <c r="I8" s="9"/>
      <c r="J8" s="10"/>
      <c r="K8" s="10"/>
      <c r="L8" s="10"/>
      <c r="M8" s="10"/>
      <c r="N8" s="10"/>
      <c r="O8" s="10"/>
      <c r="P8" s="10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10"/>
      <c r="H9" s="9"/>
      <c r="I9" s="9"/>
      <c r="J9" s="10"/>
      <c r="K9" s="10"/>
      <c r="L9" s="10"/>
      <c r="M9" s="10"/>
      <c r="N9" s="10"/>
      <c r="O9" s="10"/>
      <c r="P9" s="10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10"/>
      <c r="H10" s="9"/>
      <c r="I10" s="9"/>
      <c r="J10" s="10"/>
      <c r="K10" s="10"/>
      <c r="L10" s="10"/>
      <c r="M10" s="10"/>
      <c r="N10" s="10"/>
      <c r="O10" s="10"/>
      <c r="P10" s="10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10"/>
      <c r="H11" s="9"/>
      <c r="I11" s="9"/>
      <c r="J11" s="10"/>
      <c r="K11" s="10"/>
      <c r="L11" s="10"/>
      <c r="M11" s="10"/>
      <c r="N11" s="10"/>
      <c r="O11" s="10"/>
      <c r="P11" s="10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10"/>
      <c r="H12" s="9"/>
      <c r="I12" s="9"/>
      <c r="J12" s="10"/>
      <c r="K12" s="10"/>
      <c r="L12" s="10"/>
      <c r="M12" s="10"/>
      <c r="N12" s="10"/>
      <c r="O12" s="10"/>
      <c r="P12" s="10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10"/>
      <c r="H13" s="9"/>
      <c r="I13" s="9"/>
      <c r="J13" s="10"/>
      <c r="K13" s="10"/>
      <c r="L13" s="10"/>
      <c r="M13" s="10"/>
      <c r="N13" s="10"/>
      <c r="O13" s="10"/>
      <c r="P13" s="10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10"/>
      <c r="H14" s="9"/>
      <c r="I14" s="9"/>
      <c r="J14" s="10"/>
      <c r="K14" s="10"/>
      <c r="L14" s="10"/>
      <c r="M14" s="10"/>
      <c r="N14" s="10"/>
      <c r="O14" s="10"/>
      <c r="P14" s="10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10"/>
      <c r="H15" s="9"/>
      <c r="I15" s="9"/>
      <c r="J15" s="10"/>
      <c r="K15" s="10"/>
      <c r="L15" s="10"/>
      <c r="M15" s="10"/>
      <c r="N15" s="10"/>
      <c r="O15" s="10"/>
      <c r="P15" s="10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10"/>
      <c r="H16" s="9"/>
      <c r="I16" s="9"/>
      <c r="J16" s="10"/>
      <c r="K16" s="10"/>
      <c r="L16" s="10"/>
      <c r="M16" s="10"/>
      <c r="N16" s="10"/>
      <c r="O16" s="10"/>
      <c r="P16" s="10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10"/>
      <c r="H17" s="9"/>
      <c r="I17" s="9"/>
      <c r="J17" s="10"/>
      <c r="K17" s="10"/>
      <c r="L17" s="10"/>
      <c r="M17" s="10"/>
      <c r="N17" s="10"/>
      <c r="O17" s="10"/>
      <c r="P17" s="10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10"/>
      <c r="H18" s="9"/>
      <c r="I18" s="9"/>
      <c r="J18" s="10"/>
      <c r="K18" s="10"/>
      <c r="L18" s="10"/>
      <c r="M18" s="10"/>
      <c r="N18" s="10"/>
      <c r="O18" s="10"/>
      <c r="P18" s="10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10"/>
      <c r="H19" s="9"/>
      <c r="I19" s="9"/>
      <c r="J19" s="10"/>
      <c r="K19" s="10"/>
      <c r="L19" s="10"/>
      <c r="M19" s="10"/>
      <c r="N19" s="10"/>
      <c r="O19" s="10"/>
      <c r="P19" s="10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10"/>
      <c r="H20" s="9"/>
      <c r="I20" s="9"/>
      <c r="J20" s="10"/>
      <c r="K20" s="10"/>
      <c r="L20" s="10"/>
      <c r="M20" s="10"/>
      <c r="N20" s="10"/>
      <c r="O20" s="10"/>
      <c r="P20" s="10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10"/>
      <c r="H21" s="9"/>
      <c r="I21" s="9"/>
      <c r="J21" s="10"/>
      <c r="K21" s="10"/>
      <c r="L21" s="10"/>
      <c r="M21" s="10"/>
      <c r="N21" s="10"/>
      <c r="O21" s="10"/>
      <c r="P21" s="10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10"/>
      <c r="H22" s="9"/>
      <c r="I22" s="9"/>
      <c r="J22" s="10"/>
      <c r="K22" s="10"/>
      <c r="L22" s="10"/>
      <c r="M22" s="10"/>
      <c r="N22" s="10"/>
      <c r="O22" s="10"/>
      <c r="P22" s="10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10"/>
      <c r="H23" s="9"/>
      <c r="I23" s="9"/>
      <c r="J23" s="10"/>
      <c r="K23" s="10"/>
      <c r="L23" s="10"/>
      <c r="M23" s="10"/>
      <c r="N23" s="10"/>
      <c r="O23" s="10"/>
      <c r="P23" s="10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10"/>
      <c r="H24" s="9"/>
      <c r="I24" s="9"/>
      <c r="J24" s="10"/>
      <c r="K24" s="10"/>
      <c r="L24" s="10"/>
      <c r="M24" s="10"/>
      <c r="N24" s="10"/>
      <c r="O24" s="10"/>
      <c r="P24" s="10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10"/>
      <c r="H25" s="9"/>
      <c r="I25" s="9"/>
      <c r="J25" s="10"/>
      <c r="K25" s="10"/>
      <c r="L25" s="10"/>
      <c r="M25" s="10"/>
      <c r="N25" s="10"/>
      <c r="O25" s="10"/>
      <c r="P25" s="10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10"/>
      <c r="H26" s="9"/>
      <c r="I26" s="9"/>
      <c r="J26" s="10"/>
      <c r="K26" s="10"/>
      <c r="L26" s="10"/>
      <c r="M26" s="10"/>
      <c r="N26" s="10"/>
      <c r="O26" s="10"/>
      <c r="P26" s="10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10"/>
      <c r="H27" s="9"/>
      <c r="I27" s="9"/>
      <c r="J27" s="10"/>
      <c r="K27" s="10"/>
      <c r="L27" s="10"/>
      <c r="M27" s="10"/>
      <c r="N27" s="10"/>
      <c r="O27" s="10"/>
      <c r="P27" s="10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10"/>
      <c r="H28" s="9"/>
      <c r="I28" s="9"/>
      <c r="J28" s="10"/>
      <c r="K28" s="10"/>
      <c r="L28" s="10"/>
      <c r="M28" s="10"/>
      <c r="N28" s="10"/>
      <c r="O28" s="10"/>
      <c r="P28" s="10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10"/>
      <c r="H29" s="9"/>
      <c r="I29" s="9"/>
      <c r="J29" s="10"/>
      <c r="K29" s="10"/>
      <c r="L29" s="10"/>
      <c r="M29" s="10"/>
      <c r="N29" s="10"/>
      <c r="O29" s="10"/>
      <c r="P29" s="10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10"/>
      <c r="H30" s="9"/>
      <c r="I30" s="9"/>
      <c r="J30" s="10"/>
      <c r="K30" s="10"/>
      <c r="L30" s="10"/>
      <c r="M30" s="10"/>
      <c r="N30" s="10"/>
      <c r="O30" s="10"/>
      <c r="P30" s="10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10"/>
      <c r="H31" s="9"/>
      <c r="I31" s="9"/>
      <c r="J31" s="10"/>
      <c r="K31" s="10"/>
      <c r="L31" s="10"/>
      <c r="M31" s="10"/>
      <c r="N31" s="10"/>
      <c r="O31" s="10"/>
      <c r="P31" s="10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10"/>
      <c r="H32" s="9"/>
      <c r="I32" s="9"/>
      <c r="J32" s="10"/>
      <c r="K32" s="10"/>
      <c r="L32" s="10"/>
      <c r="M32" s="10"/>
      <c r="N32" s="10"/>
      <c r="O32" s="10"/>
      <c r="P32" s="10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10"/>
      <c r="H33" s="9"/>
      <c r="I33" s="9"/>
      <c r="J33" s="10"/>
      <c r="K33" s="10"/>
      <c r="L33" s="10"/>
      <c r="M33" s="10"/>
      <c r="N33" s="10"/>
      <c r="O33" s="10"/>
      <c r="P33" s="10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10"/>
      <c r="H34" s="9"/>
      <c r="I34" s="9"/>
      <c r="J34" s="10"/>
      <c r="K34" s="10"/>
      <c r="L34" s="10"/>
      <c r="M34" s="10"/>
      <c r="N34" s="10"/>
      <c r="O34" s="10"/>
      <c r="P34" s="10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10"/>
      <c r="H35" s="9"/>
      <c r="I35" s="9"/>
      <c r="J35" s="10"/>
      <c r="K35" s="10"/>
      <c r="L35" s="10"/>
      <c r="M35" s="10"/>
      <c r="N35" s="10"/>
      <c r="O35" s="10"/>
      <c r="P35" s="10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10"/>
      <c r="H36" s="9"/>
      <c r="I36" s="9"/>
      <c r="J36" s="10"/>
      <c r="K36" s="10"/>
      <c r="L36" s="10"/>
      <c r="M36" s="10"/>
      <c r="N36" s="10"/>
      <c r="O36" s="10"/>
      <c r="P36" s="10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10"/>
      <c r="H37" s="9"/>
      <c r="I37" s="9"/>
      <c r="J37" s="10"/>
      <c r="K37" s="10"/>
      <c r="L37" s="10"/>
      <c r="M37" s="10"/>
      <c r="N37" s="10"/>
      <c r="O37" s="10"/>
      <c r="P37" s="10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10"/>
      <c r="H38" s="9"/>
      <c r="I38" s="9"/>
      <c r="J38" s="10"/>
      <c r="K38" s="10"/>
      <c r="L38" s="10"/>
      <c r="M38" s="10"/>
      <c r="N38" s="10"/>
      <c r="O38" s="10"/>
      <c r="P38" s="10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10"/>
      <c r="H39" s="9"/>
      <c r="I39" s="9"/>
      <c r="J39" s="10"/>
      <c r="K39" s="10"/>
      <c r="L39" s="10"/>
      <c r="M39" s="10"/>
      <c r="N39" s="10"/>
      <c r="O39" s="10"/>
      <c r="P39" s="10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10"/>
      <c r="H40" s="9"/>
      <c r="I40" s="9"/>
      <c r="J40" s="10"/>
      <c r="K40" s="10"/>
      <c r="L40" s="10"/>
      <c r="M40" s="10"/>
      <c r="N40" s="10"/>
      <c r="O40" s="10"/>
      <c r="P40" s="10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10"/>
      <c r="H41" s="9"/>
      <c r="I41" s="9"/>
      <c r="J41" s="10"/>
      <c r="K41" s="10"/>
      <c r="L41" s="10"/>
      <c r="M41" s="10"/>
      <c r="N41" s="10"/>
      <c r="O41" s="10"/>
      <c r="P41" s="10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10"/>
      <c r="H42" s="9"/>
      <c r="I42" s="9"/>
      <c r="J42" s="10"/>
      <c r="K42" s="10"/>
      <c r="L42" s="10"/>
      <c r="M42" s="10"/>
      <c r="N42" s="10"/>
      <c r="O42" s="10"/>
      <c r="P42" s="10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10"/>
      <c r="H43" s="9"/>
      <c r="I43" s="9"/>
      <c r="J43" s="10"/>
      <c r="K43" s="10"/>
      <c r="L43" s="10"/>
      <c r="M43" s="10"/>
      <c r="N43" s="10"/>
      <c r="O43" s="10"/>
      <c r="P43" s="10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10"/>
      <c r="H44" s="9"/>
      <c r="I44" s="9"/>
      <c r="J44" s="10"/>
      <c r="K44" s="10"/>
      <c r="L44" s="10"/>
      <c r="M44" s="10"/>
      <c r="N44" s="10"/>
      <c r="O44" s="10"/>
      <c r="P44" s="10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10"/>
      <c r="H45" s="9"/>
      <c r="I45" s="9"/>
      <c r="J45" s="10"/>
      <c r="K45" s="10"/>
      <c r="L45" s="10"/>
      <c r="M45" s="10"/>
      <c r="N45" s="10"/>
      <c r="O45" s="10"/>
      <c r="P45" s="10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10"/>
      <c r="H46" s="9"/>
      <c r="I46" s="9"/>
      <c r="J46" s="10"/>
      <c r="K46" s="10"/>
      <c r="L46" s="10"/>
      <c r="M46" s="10"/>
      <c r="N46" s="10"/>
      <c r="O46" s="10"/>
      <c r="P46" s="10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10"/>
      <c r="H47" s="9"/>
      <c r="I47" s="9"/>
      <c r="J47" s="10"/>
      <c r="K47" s="10"/>
      <c r="L47" s="10"/>
      <c r="M47" s="10"/>
      <c r="N47" s="10"/>
      <c r="O47" s="10"/>
      <c r="P47" s="10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10"/>
      <c r="H48" s="9"/>
      <c r="I48" s="9"/>
      <c r="J48" s="10"/>
      <c r="K48" s="10"/>
      <c r="L48" s="10"/>
      <c r="M48" s="10"/>
      <c r="N48" s="10"/>
      <c r="O48" s="10"/>
      <c r="P48" s="10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10"/>
      <c r="H49" s="9"/>
      <c r="I49" s="9"/>
      <c r="J49" s="10"/>
      <c r="K49" s="10"/>
      <c r="L49" s="10"/>
      <c r="M49" s="10"/>
      <c r="N49" s="10"/>
      <c r="O49" s="10"/>
      <c r="P49" s="10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10"/>
      <c r="H50" s="9"/>
      <c r="I50" s="9"/>
      <c r="J50" s="10"/>
      <c r="K50" s="10"/>
      <c r="L50" s="10"/>
      <c r="M50" s="10"/>
      <c r="N50" s="10"/>
      <c r="O50" s="10"/>
      <c r="P50" s="10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10"/>
      <c r="H51" s="9"/>
      <c r="I51" s="9"/>
      <c r="J51" s="10"/>
      <c r="K51" s="10"/>
      <c r="L51" s="10"/>
      <c r="M51" s="10"/>
      <c r="N51" s="10"/>
      <c r="O51" s="10"/>
      <c r="P51" s="10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10"/>
      <c r="H52" s="9"/>
      <c r="I52" s="9"/>
      <c r="J52" s="10"/>
      <c r="K52" s="10"/>
      <c r="L52" s="10"/>
      <c r="M52" s="10"/>
      <c r="N52" s="10"/>
      <c r="O52" s="10"/>
      <c r="P52" s="10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10"/>
      <c r="H53" s="9"/>
      <c r="I53" s="9"/>
      <c r="J53" s="10"/>
      <c r="K53" s="10"/>
      <c r="L53" s="10"/>
      <c r="M53" s="10"/>
      <c r="N53" s="10"/>
      <c r="O53" s="10"/>
      <c r="P53" s="10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10"/>
      <c r="H54" s="9"/>
      <c r="I54" s="9"/>
      <c r="J54" s="10"/>
      <c r="K54" s="10"/>
      <c r="L54" s="10"/>
      <c r="M54" s="10"/>
      <c r="N54" s="10"/>
      <c r="O54" s="10"/>
      <c r="P54" s="10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10"/>
      <c r="H55" s="9"/>
      <c r="I55" s="9"/>
      <c r="J55" s="10"/>
      <c r="K55" s="10"/>
      <c r="L55" s="10"/>
      <c r="M55" s="10"/>
      <c r="N55" s="10"/>
      <c r="O55" s="10"/>
      <c r="P55" s="10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10"/>
      <c r="H56" s="9"/>
      <c r="I56" s="9"/>
      <c r="J56" s="10"/>
      <c r="K56" s="10"/>
      <c r="L56" s="10"/>
      <c r="M56" s="10"/>
      <c r="N56" s="10"/>
      <c r="O56" s="10"/>
      <c r="P56" s="10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10"/>
      <c r="H57" s="9"/>
      <c r="I57" s="9"/>
      <c r="J57" s="10"/>
      <c r="K57" s="10"/>
      <c r="L57" s="10"/>
      <c r="M57" s="10"/>
      <c r="N57" s="10"/>
      <c r="O57" s="10"/>
      <c r="P57" s="10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10"/>
      <c r="H58" s="9"/>
      <c r="I58" s="9"/>
      <c r="J58" s="10"/>
      <c r="K58" s="10"/>
      <c r="L58" s="10"/>
      <c r="M58" s="10"/>
      <c r="N58" s="10"/>
      <c r="O58" s="10"/>
      <c r="P58" s="10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10"/>
      <c r="H59" s="9"/>
      <c r="I59" s="9"/>
      <c r="J59" s="10"/>
      <c r="K59" s="10"/>
      <c r="L59" s="10"/>
      <c r="M59" s="10"/>
      <c r="N59" s="10"/>
      <c r="O59" s="10"/>
      <c r="P59" s="10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10"/>
      <c r="H60" s="9"/>
      <c r="I60" s="9"/>
      <c r="J60" s="10"/>
      <c r="K60" s="10"/>
      <c r="L60" s="10"/>
      <c r="M60" s="10"/>
      <c r="N60" s="10"/>
      <c r="O60" s="10"/>
      <c r="P60" s="10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10"/>
      <c r="H61" s="9"/>
      <c r="I61" s="9"/>
      <c r="J61" s="10"/>
      <c r="K61" s="10"/>
      <c r="L61" s="10"/>
      <c r="M61" s="10"/>
      <c r="N61" s="10"/>
      <c r="O61" s="10"/>
      <c r="P61" s="10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10"/>
      <c r="H62" s="9"/>
      <c r="I62" s="9"/>
      <c r="J62" s="10"/>
      <c r="K62" s="10"/>
      <c r="L62" s="10"/>
      <c r="M62" s="10"/>
      <c r="N62" s="10"/>
      <c r="O62" s="10"/>
      <c r="P62" s="10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10"/>
      <c r="H63" s="9"/>
      <c r="I63" s="9"/>
      <c r="J63" s="10"/>
      <c r="K63" s="10"/>
      <c r="L63" s="10"/>
      <c r="M63" s="10"/>
      <c r="N63" s="10"/>
      <c r="O63" s="10"/>
      <c r="P63" s="10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10"/>
      <c r="H64" s="9"/>
      <c r="I64" s="9"/>
      <c r="J64" s="10"/>
      <c r="K64" s="10"/>
      <c r="L64" s="10"/>
      <c r="M64" s="10"/>
      <c r="N64" s="10"/>
      <c r="O64" s="10"/>
      <c r="P64" s="10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10"/>
      <c r="H65" s="9"/>
      <c r="I65" s="9"/>
      <c r="J65" s="10"/>
      <c r="K65" s="10"/>
      <c r="L65" s="10"/>
      <c r="M65" s="10"/>
      <c r="N65" s="10"/>
      <c r="O65" s="10"/>
      <c r="P65" s="10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10"/>
      <c r="H66" s="9"/>
      <c r="I66" s="9"/>
      <c r="J66" s="10"/>
      <c r="K66" s="10"/>
      <c r="L66" s="10"/>
      <c r="M66" s="10"/>
      <c r="N66" s="10"/>
      <c r="O66" s="10"/>
      <c r="P66" s="10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10"/>
      <c r="H67" s="9"/>
      <c r="I67" s="9"/>
      <c r="J67" s="10"/>
      <c r="K67" s="10"/>
      <c r="L67" s="10"/>
      <c r="M67" s="10"/>
      <c r="N67" s="10"/>
      <c r="O67" s="10"/>
      <c r="P67" s="10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10"/>
      <c r="H68" s="9"/>
      <c r="I68" s="9"/>
      <c r="J68" s="10"/>
      <c r="K68" s="10"/>
      <c r="L68" s="10"/>
      <c r="M68" s="10"/>
      <c r="N68" s="10"/>
      <c r="O68" s="10"/>
      <c r="P68" s="10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10"/>
      <c r="H69" s="9"/>
      <c r="I69" s="9"/>
      <c r="J69" s="10"/>
      <c r="K69" s="10"/>
      <c r="L69" s="10"/>
      <c r="M69" s="10"/>
      <c r="N69" s="10"/>
      <c r="O69" s="10"/>
      <c r="P69" s="10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10"/>
      <c r="H70" s="9"/>
      <c r="I70" s="9"/>
      <c r="J70" s="10"/>
      <c r="K70" s="10"/>
      <c r="L70" s="10"/>
      <c r="M70" s="10"/>
      <c r="N70" s="10"/>
      <c r="O70" s="10"/>
      <c r="P70" s="10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10"/>
      <c r="H71" s="9"/>
      <c r="I71" s="9"/>
      <c r="J71" s="10"/>
      <c r="K71" s="10"/>
      <c r="L71" s="10"/>
      <c r="M71" s="10"/>
      <c r="N71" s="10"/>
      <c r="O71" s="10"/>
      <c r="P71" s="10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10"/>
      <c r="H72" s="9"/>
      <c r="I72" s="9"/>
      <c r="J72" s="10"/>
      <c r="K72" s="10"/>
      <c r="L72" s="10"/>
      <c r="M72" s="10"/>
      <c r="N72" s="10"/>
      <c r="O72" s="10"/>
      <c r="P72" s="10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10"/>
      <c r="H73" s="9"/>
      <c r="I73" s="9"/>
      <c r="J73" s="10"/>
      <c r="K73" s="10"/>
      <c r="L73" s="10"/>
      <c r="M73" s="10"/>
      <c r="N73" s="10"/>
      <c r="O73" s="10"/>
      <c r="P73" s="10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10"/>
      <c r="H74" s="9"/>
      <c r="I74" s="9"/>
      <c r="J74" s="10"/>
      <c r="K74" s="10"/>
      <c r="L74" s="10"/>
      <c r="M74" s="10"/>
      <c r="N74" s="10"/>
      <c r="O74" s="10"/>
      <c r="P74" s="10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10"/>
      <c r="H75" s="9"/>
      <c r="I75" s="9"/>
      <c r="J75" s="10"/>
      <c r="K75" s="10"/>
      <c r="L75" s="10"/>
      <c r="M75" s="10"/>
      <c r="N75" s="10"/>
      <c r="O75" s="10"/>
      <c r="P75" s="10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10"/>
      <c r="H76" s="9"/>
      <c r="I76" s="9"/>
      <c r="J76" s="10"/>
      <c r="K76" s="10"/>
      <c r="L76" s="10"/>
      <c r="M76" s="10"/>
      <c r="N76" s="10"/>
      <c r="O76" s="10"/>
      <c r="P76" s="10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10"/>
      <c r="H77" s="9"/>
      <c r="I77" s="9"/>
      <c r="J77" s="10"/>
      <c r="K77" s="10"/>
      <c r="L77" s="10"/>
      <c r="M77" s="10"/>
      <c r="N77" s="10"/>
      <c r="O77" s="10"/>
      <c r="P77" s="10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10"/>
      <c r="H78" s="9"/>
      <c r="I78" s="9"/>
      <c r="J78" s="10"/>
      <c r="K78" s="10"/>
      <c r="L78" s="10"/>
      <c r="M78" s="10"/>
      <c r="N78" s="10"/>
      <c r="O78" s="10"/>
      <c r="P78" s="10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10"/>
      <c r="H79" s="9"/>
      <c r="I79" s="9"/>
      <c r="J79" s="10"/>
      <c r="K79" s="10"/>
      <c r="L79" s="10"/>
      <c r="M79" s="10"/>
      <c r="N79" s="10"/>
      <c r="O79" s="10"/>
      <c r="P79" s="10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10"/>
      <c r="H80" s="9"/>
      <c r="I80" s="9"/>
      <c r="J80" s="10"/>
      <c r="K80" s="10"/>
      <c r="L80" s="10"/>
      <c r="M80" s="10"/>
      <c r="N80" s="10"/>
      <c r="O80" s="10"/>
      <c r="P80" s="10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10"/>
      <c r="H81" s="9"/>
      <c r="I81" s="9"/>
      <c r="J81" s="10"/>
      <c r="K81" s="10"/>
      <c r="L81" s="10"/>
      <c r="M81" s="10"/>
      <c r="N81" s="10"/>
      <c r="O81" s="10"/>
      <c r="P81" s="10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10"/>
      <c r="H82" s="9"/>
      <c r="I82" s="9"/>
      <c r="J82" s="10"/>
      <c r="K82" s="10"/>
      <c r="L82" s="10"/>
      <c r="M82" s="10"/>
      <c r="N82" s="10"/>
      <c r="O82" s="10"/>
      <c r="P82" s="10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10"/>
      <c r="H83" s="9"/>
      <c r="I83" s="9"/>
      <c r="J83" s="10"/>
      <c r="K83" s="10"/>
      <c r="L83" s="10"/>
      <c r="M83" s="10"/>
      <c r="N83" s="10"/>
      <c r="O83" s="10"/>
      <c r="P83" s="10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10"/>
      <c r="H84" s="9"/>
      <c r="I84" s="9"/>
      <c r="J84" s="10"/>
      <c r="K84" s="10"/>
      <c r="L84" s="10"/>
      <c r="M84" s="10"/>
      <c r="N84" s="10"/>
      <c r="O84" s="10"/>
      <c r="P84" s="10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10"/>
      <c r="H85" s="9"/>
      <c r="I85" s="9"/>
      <c r="J85" s="10"/>
      <c r="K85" s="10"/>
      <c r="L85" s="10"/>
      <c r="M85" s="10"/>
      <c r="N85" s="10"/>
      <c r="O85" s="10"/>
      <c r="P85" s="10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10"/>
      <c r="H86" s="9"/>
      <c r="I86" s="9"/>
      <c r="J86" s="10"/>
      <c r="K86" s="10"/>
      <c r="L86" s="10"/>
      <c r="M86" s="10"/>
      <c r="N86" s="10"/>
      <c r="O86" s="10"/>
      <c r="P86" s="10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10"/>
      <c r="H87" s="9"/>
      <c r="I87" s="9"/>
      <c r="J87" s="10"/>
      <c r="K87" s="10"/>
      <c r="L87" s="10"/>
      <c r="M87" s="10"/>
      <c r="N87" s="10"/>
      <c r="O87" s="10"/>
      <c r="P87" s="10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10"/>
      <c r="H88" s="9"/>
      <c r="I88" s="9"/>
      <c r="J88" s="10"/>
      <c r="K88" s="10"/>
      <c r="L88" s="10"/>
      <c r="M88" s="10"/>
      <c r="N88" s="10"/>
      <c r="O88" s="10"/>
      <c r="P88" s="10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10"/>
      <c r="H89" s="9"/>
      <c r="I89" s="9"/>
      <c r="J89" s="10"/>
      <c r="K89" s="10"/>
      <c r="L89" s="10"/>
      <c r="M89" s="10"/>
      <c r="N89" s="10"/>
      <c r="O89" s="10"/>
      <c r="P89" s="10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10"/>
      <c r="H90" s="9"/>
      <c r="I90" s="9"/>
      <c r="J90" s="10"/>
      <c r="K90" s="10"/>
      <c r="L90" s="10"/>
      <c r="M90" s="10"/>
      <c r="N90" s="10"/>
      <c r="O90" s="10"/>
      <c r="P90" s="10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10"/>
      <c r="H91" s="9"/>
      <c r="I91" s="9"/>
      <c r="J91" s="10"/>
      <c r="K91" s="10"/>
      <c r="L91" s="10"/>
      <c r="M91" s="10"/>
      <c r="N91" s="10"/>
      <c r="O91" s="10"/>
      <c r="P91" s="10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10"/>
      <c r="H92" s="9"/>
      <c r="I92" s="9"/>
      <c r="J92" s="10"/>
      <c r="K92" s="10"/>
      <c r="L92" s="10"/>
      <c r="M92" s="10"/>
      <c r="N92" s="10"/>
      <c r="O92" s="10"/>
      <c r="P92" s="10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10"/>
      <c r="H93" s="9"/>
      <c r="I93" s="9"/>
      <c r="J93" s="10"/>
      <c r="K93" s="10"/>
      <c r="L93" s="10"/>
      <c r="M93" s="10"/>
      <c r="N93" s="10"/>
      <c r="O93" s="10"/>
      <c r="P93" s="10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10"/>
      <c r="H94" s="9"/>
      <c r="I94" s="9"/>
      <c r="J94" s="10"/>
      <c r="K94" s="10"/>
      <c r="L94" s="10"/>
      <c r="M94" s="10"/>
      <c r="N94" s="10"/>
      <c r="O94" s="10"/>
      <c r="P94" s="10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10"/>
      <c r="H95" s="9"/>
      <c r="I95" s="9"/>
      <c r="J95" s="10"/>
      <c r="K95" s="10"/>
      <c r="L95" s="10"/>
      <c r="M95" s="10"/>
      <c r="N95" s="10"/>
      <c r="O95" s="10"/>
      <c r="P95" s="10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10"/>
      <c r="H96" s="9"/>
      <c r="I96" s="9"/>
      <c r="J96" s="10"/>
      <c r="K96" s="10"/>
      <c r="L96" s="10"/>
      <c r="M96" s="10"/>
      <c r="N96" s="10"/>
      <c r="O96" s="10"/>
      <c r="P96" s="10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10"/>
      <c r="H97" s="9"/>
      <c r="I97" s="9"/>
      <c r="J97" s="10"/>
      <c r="K97" s="10"/>
      <c r="L97" s="10"/>
      <c r="M97" s="10"/>
      <c r="N97" s="10"/>
      <c r="O97" s="10"/>
      <c r="P97" s="10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10"/>
      <c r="H98" s="9"/>
      <c r="I98" s="9"/>
      <c r="J98" s="10"/>
      <c r="K98" s="10"/>
      <c r="L98" s="10"/>
      <c r="M98" s="10"/>
      <c r="N98" s="10"/>
      <c r="O98" s="10"/>
      <c r="P98" s="10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10"/>
      <c r="H99" s="9"/>
      <c r="I99" s="9"/>
      <c r="J99" s="10"/>
      <c r="K99" s="10"/>
      <c r="L99" s="10"/>
      <c r="M99" s="10"/>
      <c r="N99" s="10"/>
      <c r="O99" s="10"/>
      <c r="P99" s="10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10"/>
      <c r="H100" s="9"/>
      <c r="I100" s="9"/>
      <c r="J100" s="10"/>
      <c r="K100" s="10"/>
      <c r="L100" s="10"/>
      <c r="M100" s="10"/>
      <c r="N100" s="10"/>
      <c r="O100" s="10"/>
      <c r="P100" s="10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10"/>
      <c r="H101" s="9"/>
      <c r="I101" s="9"/>
      <c r="J101" s="10"/>
      <c r="K101" s="10"/>
      <c r="L101" s="10"/>
      <c r="M101" s="10"/>
      <c r="N101" s="10"/>
      <c r="O101" s="10"/>
      <c r="P101" s="10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10"/>
      <c r="H102" s="9"/>
      <c r="I102" s="9"/>
      <c r="J102" s="10"/>
      <c r="K102" s="10"/>
      <c r="L102" s="10"/>
      <c r="M102" s="10"/>
      <c r="N102" s="10"/>
      <c r="O102" s="10"/>
      <c r="P102" s="10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10"/>
      <c r="H103" s="9"/>
      <c r="I103" s="9"/>
      <c r="J103" s="10"/>
      <c r="K103" s="10"/>
      <c r="L103" s="10"/>
      <c r="M103" s="10"/>
      <c r="N103" s="10"/>
      <c r="O103" s="10"/>
      <c r="P103" s="10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10"/>
      <c r="H104" s="9"/>
      <c r="I104" s="9"/>
      <c r="J104" s="10"/>
      <c r="K104" s="10"/>
      <c r="L104" s="10"/>
      <c r="M104" s="10"/>
      <c r="N104" s="10"/>
      <c r="O104" s="10"/>
      <c r="P104" s="10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10"/>
      <c r="H105" s="9"/>
      <c r="I105" s="9"/>
      <c r="J105" s="10"/>
      <c r="K105" s="10"/>
      <c r="L105" s="10"/>
      <c r="M105" s="10"/>
      <c r="N105" s="10"/>
      <c r="O105" s="10"/>
      <c r="P105" s="10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10"/>
      <c r="H106" s="9"/>
      <c r="I106" s="9"/>
      <c r="J106" s="10"/>
      <c r="K106" s="10"/>
      <c r="L106" s="10"/>
      <c r="M106" s="10"/>
      <c r="N106" s="10"/>
      <c r="O106" s="10"/>
      <c r="P106" s="10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10"/>
      <c r="H107" s="9"/>
      <c r="I107" s="9"/>
      <c r="J107" s="10"/>
      <c r="K107" s="10"/>
      <c r="L107" s="10"/>
      <c r="M107" s="10"/>
      <c r="N107" s="10"/>
      <c r="O107" s="10"/>
      <c r="P107" s="10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10"/>
      <c r="H108" s="9"/>
      <c r="I108" s="9"/>
      <c r="J108" s="10"/>
      <c r="K108" s="10"/>
      <c r="L108" s="10"/>
      <c r="M108" s="10"/>
      <c r="N108" s="10"/>
      <c r="O108" s="10"/>
      <c r="P108" s="10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10"/>
      <c r="H109" s="9"/>
      <c r="I109" s="9"/>
      <c r="J109" s="10"/>
      <c r="K109" s="10"/>
      <c r="L109" s="10"/>
      <c r="M109" s="10"/>
      <c r="N109" s="10"/>
      <c r="O109" s="10"/>
      <c r="P109" s="10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10"/>
      <c r="H110" s="9"/>
      <c r="I110" s="9"/>
      <c r="J110" s="10"/>
      <c r="K110" s="10"/>
      <c r="L110" s="10"/>
      <c r="M110" s="10"/>
      <c r="N110" s="10"/>
      <c r="O110" s="10"/>
      <c r="P110" s="10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10"/>
      <c r="H111" s="9"/>
      <c r="I111" s="9"/>
      <c r="J111" s="10"/>
      <c r="K111" s="10"/>
      <c r="L111" s="10"/>
      <c r="M111" s="10"/>
      <c r="N111" s="10"/>
      <c r="O111" s="10"/>
      <c r="P111" s="10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10"/>
      <c r="H112" s="9"/>
      <c r="I112" s="9"/>
      <c r="J112" s="10"/>
      <c r="K112" s="10"/>
      <c r="L112" s="10"/>
      <c r="M112" s="10"/>
      <c r="N112" s="10"/>
      <c r="O112" s="10"/>
      <c r="P112" s="10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10"/>
      <c r="H113" s="9"/>
      <c r="I113" s="9"/>
      <c r="J113" s="10"/>
      <c r="K113" s="10"/>
      <c r="L113" s="10"/>
      <c r="M113" s="10"/>
      <c r="N113" s="10"/>
      <c r="O113" s="10"/>
      <c r="P113" s="10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10"/>
      <c r="H114" s="9"/>
      <c r="I114" s="9"/>
      <c r="J114" s="10"/>
      <c r="K114" s="10"/>
      <c r="L114" s="10"/>
      <c r="M114" s="10"/>
      <c r="N114" s="10"/>
      <c r="O114" s="10"/>
      <c r="P114" s="10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10"/>
      <c r="H115" s="9"/>
      <c r="I115" s="9"/>
      <c r="J115" s="10"/>
      <c r="K115" s="10"/>
      <c r="L115" s="10"/>
      <c r="M115" s="10"/>
      <c r="N115" s="10"/>
      <c r="O115" s="10"/>
      <c r="P115" s="10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10"/>
      <c r="H116" s="9"/>
      <c r="I116" s="9"/>
      <c r="J116" s="10"/>
      <c r="K116" s="10"/>
      <c r="L116" s="10"/>
      <c r="M116" s="10"/>
      <c r="N116" s="10"/>
      <c r="O116" s="10"/>
      <c r="P116" s="10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10"/>
      <c r="H117" s="9"/>
      <c r="I117" s="9"/>
      <c r="J117" s="10"/>
      <c r="K117" s="10"/>
      <c r="L117" s="10"/>
      <c r="M117" s="10"/>
      <c r="N117" s="10"/>
      <c r="O117" s="10"/>
      <c r="P117" s="10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10"/>
      <c r="H118" s="9"/>
      <c r="I118" s="9"/>
      <c r="J118" s="10"/>
      <c r="K118" s="10"/>
      <c r="L118" s="10"/>
      <c r="M118" s="10"/>
      <c r="N118" s="10"/>
      <c r="O118" s="10"/>
      <c r="P118" s="10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10"/>
      <c r="H119" s="9"/>
      <c r="I119" s="9"/>
      <c r="J119" s="10"/>
      <c r="K119" s="10"/>
      <c r="L119" s="10"/>
      <c r="M119" s="10"/>
      <c r="N119" s="10"/>
      <c r="O119" s="10"/>
      <c r="P119" s="10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10"/>
      <c r="H120" s="9"/>
      <c r="I120" s="9"/>
      <c r="J120" s="10"/>
      <c r="K120" s="10"/>
      <c r="L120" s="10"/>
      <c r="M120" s="10"/>
      <c r="N120" s="10"/>
      <c r="O120" s="10"/>
      <c r="P120" s="10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10"/>
      <c r="H121" s="9"/>
      <c r="I121" s="9"/>
      <c r="J121" s="10"/>
      <c r="K121" s="10"/>
      <c r="L121" s="10"/>
      <c r="M121" s="10"/>
      <c r="N121" s="10"/>
      <c r="O121" s="10"/>
      <c r="P121" s="10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10"/>
      <c r="H122" s="9"/>
      <c r="I122" s="9"/>
      <c r="J122" s="10"/>
      <c r="K122" s="10"/>
      <c r="L122" s="10"/>
      <c r="M122" s="10"/>
      <c r="N122" s="10"/>
      <c r="O122" s="10"/>
      <c r="P122" s="10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10"/>
      <c r="H123" s="9"/>
      <c r="I123" s="9"/>
      <c r="J123" s="10"/>
      <c r="K123" s="10"/>
      <c r="L123" s="10"/>
      <c r="M123" s="10"/>
      <c r="N123" s="10"/>
      <c r="O123" s="10"/>
      <c r="P123" s="10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10"/>
      <c r="H124" s="9"/>
      <c r="I124" s="9"/>
      <c r="J124" s="10"/>
      <c r="K124" s="10"/>
      <c r="L124" s="10"/>
      <c r="M124" s="10"/>
      <c r="N124" s="10"/>
      <c r="O124" s="10"/>
      <c r="P124" s="10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10"/>
      <c r="H125" s="9"/>
      <c r="I125" s="9"/>
      <c r="J125" s="10"/>
      <c r="K125" s="10"/>
      <c r="L125" s="10"/>
      <c r="M125" s="10"/>
      <c r="N125" s="10"/>
      <c r="O125" s="10"/>
      <c r="P125" s="10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10"/>
      <c r="H126" s="9"/>
      <c r="I126" s="9"/>
      <c r="J126" s="10"/>
      <c r="K126" s="10"/>
      <c r="L126" s="10"/>
      <c r="M126" s="10"/>
      <c r="N126" s="10"/>
      <c r="O126" s="10"/>
      <c r="P126" s="10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10"/>
      <c r="H127" s="9"/>
      <c r="I127" s="9"/>
      <c r="J127" s="10"/>
      <c r="K127" s="10"/>
      <c r="L127" s="10"/>
      <c r="M127" s="10"/>
      <c r="N127" s="10"/>
      <c r="O127" s="10"/>
      <c r="P127" s="10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10"/>
      <c r="H128" s="9"/>
      <c r="I128" s="9"/>
      <c r="J128" s="10"/>
      <c r="K128" s="10"/>
      <c r="L128" s="10"/>
      <c r="M128" s="10"/>
      <c r="N128" s="10"/>
      <c r="O128" s="10"/>
      <c r="P128" s="10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10"/>
      <c r="H129" s="9"/>
      <c r="I129" s="9"/>
      <c r="J129" s="10"/>
      <c r="K129" s="10"/>
      <c r="L129" s="10"/>
      <c r="M129" s="10"/>
      <c r="N129" s="10"/>
      <c r="O129" s="10"/>
      <c r="P129" s="10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10"/>
      <c r="H130" s="9"/>
      <c r="I130" s="9"/>
      <c r="J130" s="10"/>
      <c r="K130" s="10"/>
      <c r="L130" s="10"/>
      <c r="M130" s="10"/>
      <c r="N130" s="10"/>
      <c r="O130" s="10"/>
      <c r="P130" s="10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10"/>
      <c r="H131" s="9"/>
      <c r="I131" s="9"/>
      <c r="J131" s="10"/>
      <c r="K131" s="10"/>
      <c r="L131" s="10"/>
      <c r="M131" s="10"/>
      <c r="N131" s="10"/>
      <c r="O131" s="10"/>
      <c r="P131" s="10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10"/>
      <c r="H132" s="9"/>
      <c r="I132" s="9"/>
      <c r="J132" s="10"/>
      <c r="K132" s="10"/>
      <c r="L132" s="10"/>
      <c r="M132" s="10"/>
      <c r="N132" s="10"/>
      <c r="O132" s="10"/>
      <c r="P132" s="10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10"/>
      <c r="H133" s="9"/>
      <c r="I133" s="9"/>
      <c r="J133" s="10"/>
      <c r="K133" s="10"/>
      <c r="L133" s="10"/>
      <c r="M133" s="10"/>
      <c r="N133" s="10"/>
      <c r="O133" s="10"/>
      <c r="P133" s="10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10"/>
      <c r="H134" s="9"/>
      <c r="I134" s="9"/>
      <c r="J134" s="10"/>
      <c r="K134" s="10"/>
      <c r="L134" s="10"/>
      <c r="M134" s="10"/>
      <c r="N134" s="10"/>
      <c r="O134" s="10"/>
      <c r="P134" s="10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10"/>
      <c r="H135" s="9"/>
      <c r="I135" s="9"/>
      <c r="J135" s="10"/>
      <c r="K135" s="10"/>
      <c r="L135" s="10"/>
      <c r="M135" s="10"/>
      <c r="N135" s="10"/>
      <c r="O135" s="10"/>
      <c r="P135" s="10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10"/>
      <c r="H136" s="9"/>
      <c r="I136" s="9"/>
      <c r="J136" s="10"/>
      <c r="K136" s="10"/>
      <c r="L136" s="10"/>
      <c r="M136" s="10"/>
      <c r="N136" s="10"/>
      <c r="O136" s="10"/>
      <c r="P136" s="10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10"/>
      <c r="H137" s="9"/>
      <c r="I137" s="9"/>
      <c r="J137" s="10"/>
      <c r="K137" s="10"/>
      <c r="L137" s="10"/>
      <c r="M137" s="10"/>
      <c r="N137" s="10"/>
      <c r="O137" s="10"/>
      <c r="P137" s="10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10"/>
      <c r="H138" s="9"/>
      <c r="I138" s="9"/>
      <c r="J138" s="10"/>
      <c r="K138" s="10"/>
      <c r="L138" s="10"/>
      <c r="M138" s="10"/>
      <c r="N138" s="10"/>
      <c r="O138" s="10"/>
      <c r="P138" s="10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10"/>
      <c r="H139" s="9"/>
      <c r="I139" s="9"/>
      <c r="J139" s="10"/>
      <c r="K139" s="10"/>
      <c r="L139" s="10"/>
      <c r="M139" s="10"/>
      <c r="N139" s="10"/>
      <c r="O139" s="10"/>
      <c r="P139" s="10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10"/>
      <c r="H140" s="9"/>
      <c r="I140" s="9"/>
      <c r="J140" s="10"/>
      <c r="K140" s="10"/>
      <c r="L140" s="10"/>
      <c r="M140" s="10"/>
      <c r="N140" s="10"/>
      <c r="O140" s="10"/>
      <c r="P140" s="10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10"/>
      <c r="H141" s="9"/>
      <c r="I141" s="9"/>
      <c r="J141" s="10"/>
      <c r="K141" s="10"/>
      <c r="L141" s="10"/>
      <c r="M141" s="10"/>
      <c r="N141" s="10"/>
      <c r="O141" s="10"/>
      <c r="P141" s="10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10"/>
      <c r="H142" s="9"/>
      <c r="I142" s="9"/>
      <c r="J142" s="10"/>
      <c r="K142" s="10"/>
      <c r="L142" s="10"/>
      <c r="M142" s="10"/>
      <c r="N142" s="10"/>
      <c r="O142" s="10"/>
      <c r="P142" s="10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10"/>
      <c r="H143" s="9"/>
      <c r="I143" s="9"/>
      <c r="J143" s="10"/>
      <c r="K143" s="10"/>
      <c r="L143" s="10"/>
      <c r="M143" s="10"/>
      <c r="N143" s="10"/>
      <c r="O143" s="10"/>
      <c r="P143" s="10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10"/>
      <c r="H144" s="9"/>
      <c r="I144" s="9"/>
      <c r="J144" s="10"/>
      <c r="K144" s="10"/>
      <c r="L144" s="10"/>
      <c r="M144" s="10"/>
      <c r="N144" s="10"/>
      <c r="O144" s="10"/>
      <c r="P144" s="10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10"/>
      <c r="H145" s="9"/>
      <c r="I145" s="9"/>
      <c r="J145" s="10"/>
      <c r="K145" s="10"/>
      <c r="L145" s="10"/>
      <c r="M145" s="10"/>
      <c r="N145" s="10"/>
      <c r="O145" s="10"/>
      <c r="P145" s="10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10"/>
      <c r="H146" s="9"/>
      <c r="I146" s="9"/>
      <c r="J146" s="10"/>
      <c r="K146" s="10"/>
      <c r="L146" s="10"/>
      <c r="M146" s="10"/>
      <c r="N146" s="10"/>
      <c r="O146" s="10"/>
      <c r="P146" s="10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10"/>
      <c r="H147" s="9"/>
      <c r="I147" s="9"/>
      <c r="J147" s="10"/>
      <c r="K147" s="10"/>
      <c r="L147" s="10"/>
      <c r="M147" s="10"/>
      <c r="N147" s="10"/>
      <c r="O147" s="10"/>
      <c r="P147" s="10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10"/>
      <c r="H148" s="9"/>
      <c r="I148" s="9"/>
      <c r="J148" s="10"/>
      <c r="K148" s="10"/>
      <c r="L148" s="10"/>
      <c r="M148" s="10"/>
      <c r="N148" s="10"/>
      <c r="O148" s="10"/>
      <c r="P148" s="10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10"/>
      <c r="H149" s="9"/>
      <c r="I149" s="9"/>
      <c r="J149" s="10"/>
      <c r="K149" s="10"/>
      <c r="L149" s="10"/>
      <c r="M149" s="10"/>
      <c r="N149" s="10"/>
      <c r="O149" s="10"/>
      <c r="P149" s="10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10"/>
      <c r="H150" s="9"/>
      <c r="I150" s="9"/>
      <c r="J150" s="10"/>
      <c r="K150" s="10"/>
      <c r="L150" s="10"/>
      <c r="M150" s="10"/>
      <c r="N150" s="10"/>
      <c r="O150" s="10"/>
      <c r="P150" s="10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10"/>
      <c r="H151" s="9"/>
      <c r="I151" s="9"/>
      <c r="J151" s="10"/>
      <c r="K151" s="10"/>
      <c r="L151" s="10"/>
      <c r="M151" s="10"/>
      <c r="N151" s="10"/>
      <c r="O151" s="10"/>
      <c r="P151" s="10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10"/>
      <c r="H152" s="9"/>
      <c r="I152" s="9"/>
      <c r="J152" s="10"/>
      <c r="K152" s="10"/>
      <c r="L152" s="10"/>
      <c r="M152" s="10"/>
      <c r="N152" s="10"/>
      <c r="O152" s="10"/>
      <c r="P152" s="10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10"/>
      <c r="H153" s="9"/>
      <c r="I153" s="9"/>
      <c r="J153" s="10"/>
      <c r="K153" s="10"/>
      <c r="L153" s="10"/>
      <c r="M153" s="10"/>
      <c r="N153" s="10"/>
      <c r="O153" s="10"/>
      <c r="P153" s="10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10"/>
      <c r="H154" s="9"/>
      <c r="I154" s="9"/>
      <c r="J154" s="10"/>
      <c r="K154" s="10"/>
      <c r="L154" s="10"/>
      <c r="M154" s="10"/>
      <c r="N154" s="10"/>
      <c r="O154" s="10"/>
      <c r="P154" s="10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10"/>
      <c r="H155" s="9"/>
      <c r="I155" s="9"/>
      <c r="J155" s="10"/>
      <c r="K155" s="10"/>
      <c r="L155" s="10"/>
      <c r="M155" s="10"/>
      <c r="N155" s="10"/>
      <c r="O155" s="10"/>
      <c r="P155" s="10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10"/>
      <c r="H156" s="9"/>
      <c r="I156" s="9"/>
      <c r="J156" s="10"/>
      <c r="K156" s="10"/>
      <c r="L156" s="10"/>
      <c r="M156" s="10"/>
      <c r="N156" s="10"/>
      <c r="O156" s="10"/>
      <c r="P156" s="10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10"/>
      <c r="H157" s="9"/>
      <c r="I157" s="9"/>
      <c r="J157" s="10"/>
      <c r="K157" s="10"/>
      <c r="L157" s="10"/>
      <c r="M157" s="10"/>
      <c r="N157" s="10"/>
      <c r="O157" s="10"/>
      <c r="P157" s="10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10"/>
      <c r="H158" s="9"/>
      <c r="I158" s="9"/>
      <c r="J158" s="10"/>
      <c r="K158" s="10"/>
      <c r="L158" s="10"/>
      <c r="M158" s="10"/>
      <c r="N158" s="10"/>
      <c r="O158" s="10"/>
      <c r="P158" s="10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10"/>
      <c r="H159" s="9"/>
      <c r="I159" s="9"/>
      <c r="J159" s="10"/>
      <c r="K159" s="10"/>
      <c r="L159" s="10"/>
      <c r="M159" s="10"/>
      <c r="N159" s="10"/>
      <c r="O159" s="10"/>
      <c r="P159" s="10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10"/>
      <c r="H160" s="9"/>
      <c r="I160" s="9"/>
      <c r="J160" s="10"/>
      <c r="K160" s="10"/>
      <c r="L160" s="10"/>
      <c r="M160" s="10"/>
      <c r="N160" s="10"/>
      <c r="O160" s="10"/>
      <c r="P160" s="10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10"/>
      <c r="H161" s="9"/>
      <c r="I161" s="9"/>
      <c r="J161" s="10"/>
      <c r="K161" s="10"/>
      <c r="L161" s="10"/>
      <c r="M161" s="10"/>
      <c r="N161" s="10"/>
      <c r="O161" s="10"/>
      <c r="P161" s="10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10"/>
      <c r="H162" s="9"/>
      <c r="I162" s="9"/>
      <c r="J162" s="10"/>
      <c r="K162" s="10"/>
      <c r="L162" s="10"/>
      <c r="M162" s="10"/>
      <c r="N162" s="10"/>
      <c r="O162" s="10"/>
      <c r="P162" s="10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10"/>
      <c r="H163" s="9"/>
      <c r="I163" s="9"/>
      <c r="J163" s="10"/>
      <c r="K163" s="10"/>
      <c r="L163" s="10"/>
      <c r="M163" s="10"/>
      <c r="N163" s="10"/>
      <c r="O163" s="10"/>
      <c r="P163" s="10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10"/>
      <c r="H164" s="9"/>
      <c r="I164" s="9"/>
      <c r="J164" s="10"/>
      <c r="K164" s="10"/>
      <c r="L164" s="10"/>
      <c r="M164" s="10"/>
      <c r="N164" s="10"/>
      <c r="O164" s="10"/>
      <c r="P164" s="10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10"/>
      <c r="H165" s="9"/>
      <c r="I165" s="9"/>
      <c r="J165" s="10"/>
      <c r="K165" s="10"/>
      <c r="L165" s="10"/>
      <c r="M165" s="10"/>
      <c r="N165" s="10"/>
      <c r="O165" s="10"/>
      <c r="P165" s="10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10"/>
      <c r="H166" s="9"/>
      <c r="I166" s="9"/>
      <c r="J166" s="10"/>
      <c r="K166" s="10"/>
      <c r="L166" s="10"/>
      <c r="M166" s="10"/>
      <c r="N166" s="10"/>
      <c r="O166" s="10"/>
      <c r="P166" s="10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10"/>
      <c r="H167" s="9"/>
      <c r="I167" s="9"/>
      <c r="J167" s="10"/>
      <c r="K167" s="10"/>
      <c r="L167" s="10"/>
      <c r="M167" s="10"/>
      <c r="N167" s="10"/>
      <c r="O167" s="10"/>
      <c r="P167" s="10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10"/>
      <c r="H168" s="9"/>
      <c r="I168" s="9"/>
      <c r="J168" s="10"/>
      <c r="K168" s="10"/>
      <c r="L168" s="10"/>
      <c r="M168" s="10"/>
      <c r="N168" s="10"/>
      <c r="O168" s="10"/>
      <c r="P168" s="10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10"/>
      <c r="H169" s="9"/>
      <c r="I169" s="9"/>
      <c r="J169" s="10"/>
      <c r="K169" s="10"/>
      <c r="L169" s="10"/>
      <c r="M169" s="10"/>
      <c r="N169" s="10"/>
      <c r="O169" s="10"/>
      <c r="P169" s="10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10"/>
      <c r="H170" s="9"/>
      <c r="I170" s="9"/>
      <c r="J170" s="10"/>
      <c r="K170" s="10"/>
      <c r="L170" s="10"/>
      <c r="M170" s="10"/>
      <c r="N170" s="10"/>
      <c r="O170" s="10"/>
      <c r="P170" s="10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10"/>
      <c r="H171" s="9"/>
      <c r="I171" s="9"/>
      <c r="J171" s="10"/>
      <c r="K171" s="10"/>
      <c r="L171" s="10"/>
      <c r="M171" s="10"/>
      <c r="N171" s="10"/>
      <c r="O171" s="10"/>
      <c r="P171" s="10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10"/>
      <c r="H172" s="9"/>
      <c r="I172" s="9"/>
      <c r="J172" s="10"/>
      <c r="K172" s="10"/>
      <c r="L172" s="10"/>
      <c r="M172" s="10"/>
      <c r="N172" s="10"/>
      <c r="O172" s="10"/>
      <c r="P172" s="10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10"/>
      <c r="H173" s="9"/>
      <c r="I173" s="9"/>
      <c r="J173" s="10"/>
      <c r="K173" s="10"/>
      <c r="L173" s="10"/>
      <c r="M173" s="10"/>
      <c r="N173" s="10"/>
      <c r="O173" s="10"/>
      <c r="P173" s="10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10"/>
      <c r="H174" s="9"/>
      <c r="I174" s="9"/>
      <c r="J174" s="10"/>
      <c r="K174" s="10"/>
      <c r="L174" s="10"/>
      <c r="M174" s="10"/>
      <c r="N174" s="10"/>
      <c r="O174" s="10"/>
      <c r="P174" s="10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10"/>
      <c r="H175" s="9"/>
      <c r="I175" s="9"/>
      <c r="J175" s="10"/>
      <c r="K175" s="10"/>
      <c r="L175" s="10"/>
      <c r="M175" s="10"/>
      <c r="N175" s="10"/>
      <c r="O175" s="10"/>
      <c r="P175" s="10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10"/>
      <c r="H176" s="9"/>
      <c r="I176" s="9"/>
      <c r="J176" s="10"/>
      <c r="K176" s="10"/>
      <c r="L176" s="10"/>
      <c r="M176" s="10"/>
      <c r="N176" s="10"/>
      <c r="O176" s="10"/>
      <c r="P176" s="10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10"/>
      <c r="H177" s="9"/>
      <c r="I177" s="9"/>
      <c r="J177" s="10"/>
      <c r="K177" s="10"/>
      <c r="L177" s="10"/>
      <c r="M177" s="10"/>
      <c r="N177" s="10"/>
      <c r="O177" s="10"/>
      <c r="P177" s="10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10"/>
      <c r="H178" s="9"/>
      <c r="I178" s="9"/>
      <c r="J178" s="10"/>
      <c r="K178" s="10"/>
      <c r="L178" s="10"/>
      <c r="M178" s="10"/>
      <c r="N178" s="10"/>
      <c r="O178" s="10"/>
      <c r="P178" s="10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10"/>
      <c r="H179" s="9"/>
      <c r="I179" s="9"/>
      <c r="J179" s="10"/>
      <c r="K179" s="10"/>
      <c r="L179" s="10"/>
      <c r="M179" s="10"/>
      <c r="N179" s="10"/>
      <c r="O179" s="10"/>
      <c r="P179" s="10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10"/>
      <c r="H180" s="9"/>
      <c r="I180" s="9"/>
      <c r="J180" s="10"/>
      <c r="K180" s="10"/>
      <c r="L180" s="10"/>
      <c r="M180" s="10"/>
      <c r="N180" s="10"/>
      <c r="O180" s="10"/>
      <c r="P180" s="10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10"/>
      <c r="H181" s="9"/>
      <c r="I181" s="9"/>
      <c r="J181" s="10"/>
      <c r="K181" s="10"/>
      <c r="L181" s="10"/>
      <c r="M181" s="10"/>
      <c r="N181" s="10"/>
      <c r="O181" s="10"/>
      <c r="P181" s="10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10"/>
      <c r="H182" s="9"/>
      <c r="I182" s="9"/>
      <c r="J182" s="10"/>
      <c r="K182" s="10"/>
      <c r="L182" s="10"/>
      <c r="M182" s="10"/>
      <c r="N182" s="10"/>
      <c r="O182" s="10"/>
      <c r="P182" s="10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10"/>
      <c r="H183" s="9"/>
      <c r="I183" s="9"/>
      <c r="J183" s="10"/>
      <c r="K183" s="10"/>
      <c r="L183" s="10"/>
      <c r="M183" s="10"/>
      <c r="N183" s="10"/>
      <c r="O183" s="10"/>
      <c r="P183" s="10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10"/>
      <c r="H184" s="9"/>
      <c r="I184" s="9"/>
      <c r="J184" s="10"/>
      <c r="K184" s="10"/>
      <c r="L184" s="10"/>
      <c r="M184" s="10"/>
      <c r="N184" s="10"/>
      <c r="O184" s="10"/>
      <c r="P184" s="10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10"/>
      <c r="H185" s="9"/>
      <c r="I185" s="9"/>
      <c r="J185" s="10"/>
      <c r="K185" s="10"/>
      <c r="L185" s="10"/>
      <c r="M185" s="10"/>
      <c r="N185" s="10"/>
      <c r="O185" s="10"/>
      <c r="P185" s="10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10"/>
      <c r="H186" s="9"/>
      <c r="I186" s="9"/>
      <c r="J186" s="10"/>
      <c r="K186" s="10"/>
      <c r="L186" s="10"/>
      <c r="M186" s="10"/>
      <c r="N186" s="10"/>
      <c r="O186" s="10"/>
      <c r="P186" s="10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10"/>
      <c r="H187" s="9"/>
      <c r="I187" s="9"/>
      <c r="J187" s="10"/>
      <c r="K187" s="10"/>
      <c r="L187" s="10"/>
      <c r="M187" s="10"/>
      <c r="N187" s="10"/>
      <c r="O187" s="10"/>
      <c r="P187" s="10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10"/>
      <c r="H188" s="9"/>
      <c r="I188" s="9"/>
      <c r="J188" s="10"/>
      <c r="K188" s="10"/>
      <c r="L188" s="10"/>
      <c r="M188" s="10"/>
      <c r="N188" s="10"/>
      <c r="O188" s="10"/>
      <c r="P188" s="10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10"/>
      <c r="H189" s="9"/>
      <c r="I189" s="9"/>
      <c r="J189" s="10"/>
      <c r="K189" s="10"/>
      <c r="L189" s="10"/>
      <c r="M189" s="10"/>
      <c r="N189" s="10"/>
      <c r="O189" s="10"/>
      <c r="P189" s="10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10"/>
      <c r="H190" s="9"/>
      <c r="I190" s="9"/>
      <c r="J190" s="10"/>
      <c r="K190" s="10"/>
      <c r="L190" s="10"/>
      <c r="M190" s="10"/>
      <c r="N190" s="10"/>
      <c r="O190" s="10"/>
      <c r="P190" s="10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10"/>
      <c r="H191" s="9"/>
      <c r="I191" s="9"/>
      <c r="J191" s="10"/>
      <c r="K191" s="10"/>
      <c r="L191" s="10"/>
      <c r="M191" s="10"/>
      <c r="N191" s="10"/>
      <c r="O191" s="10"/>
      <c r="P191" s="10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10"/>
      <c r="H192" s="9"/>
      <c r="I192" s="9"/>
      <c r="J192" s="10"/>
      <c r="K192" s="10"/>
      <c r="L192" s="10"/>
      <c r="M192" s="10"/>
      <c r="N192" s="10"/>
      <c r="O192" s="10"/>
      <c r="P192" s="10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10"/>
      <c r="H193" s="9"/>
      <c r="I193" s="9"/>
      <c r="J193" s="10"/>
      <c r="K193" s="10"/>
      <c r="L193" s="10"/>
      <c r="M193" s="10"/>
      <c r="N193" s="10"/>
      <c r="O193" s="10"/>
      <c r="P193" s="10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10"/>
      <c r="H194" s="9"/>
      <c r="I194" s="9"/>
      <c r="J194" s="10"/>
      <c r="K194" s="10"/>
      <c r="L194" s="10"/>
      <c r="M194" s="10"/>
      <c r="N194" s="10"/>
      <c r="O194" s="10"/>
      <c r="P194" s="10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10"/>
      <c r="H195" s="9"/>
      <c r="I195" s="9"/>
      <c r="J195" s="10"/>
      <c r="K195" s="10"/>
      <c r="L195" s="10"/>
      <c r="M195" s="10"/>
      <c r="N195" s="10"/>
      <c r="O195" s="10"/>
      <c r="P195" s="10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10"/>
      <c r="H196" s="9"/>
      <c r="I196" s="9"/>
      <c r="J196" s="10"/>
      <c r="K196" s="10"/>
      <c r="L196" s="10"/>
      <c r="M196" s="10"/>
      <c r="N196" s="10"/>
      <c r="O196" s="10"/>
      <c r="P196" s="10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10"/>
      <c r="H197" s="9"/>
      <c r="I197" s="9"/>
      <c r="J197" s="10"/>
      <c r="K197" s="10"/>
      <c r="L197" s="10"/>
      <c r="M197" s="10"/>
      <c r="N197" s="10"/>
      <c r="O197" s="10"/>
      <c r="P197" s="10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10"/>
      <c r="H198" s="9"/>
      <c r="I198" s="9"/>
      <c r="J198" s="10"/>
      <c r="K198" s="10"/>
      <c r="L198" s="10"/>
      <c r="M198" s="10"/>
      <c r="N198" s="10"/>
      <c r="O198" s="10"/>
      <c r="P198" s="10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10"/>
      <c r="H199" s="9"/>
      <c r="I199" s="9"/>
      <c r="J199" s="10"/>
      <c r="K199" s="10"/>
      <c r="L199" s="10"/>
      <c r="M199" s="10"/>
      <c r="N199" s="10"/>
      <c r="O199" s="10"/>
      <c r="P199" s="10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10"/>
      <c r="H200" s="9"/>
      <c r="I200" s="9"/>
      <c r="J200" s="10"/>
      <c r="K200" s="10"/>
      <c r="L200" s="10"/>
      <c r="M200" s="10"/>
      <c r="N200" s="10"/>
      <c r="O200" s="10"/>
      <c r="P200" s="10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10"/>
      <c r="H201" s="9"/>
      <c r="I201" s="9"/>
      <c r="J201" s="10"/>
      <c r="K201" s="10"/>
      <c r="L201" s="10"/>
      <c r="M201" s="10"/>
      <c r="N201" s="10"/>
      <c r="O201" s="10"/>
      <c r="P201" s="10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10"/>
      <c r="H202" s="9"/>
      <c r="I202" s="9"/>
      <c r="J202" s="10"/>
      <c r="K202" s="10"/>
      <c r="L202" s="10"/>
      <c r="M202" s="10"/>
      <c r="N202" s="10"/>
      <c r="O202" s="10"/>
      <c r="P202" s="10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10"/>
      <c r="H203" s="9"/>
      <c r="I203" s="9"/>
      <c r="J203" s="10"/>
      <c r="K203" s="10"/>
      <c r="L203" s="10"/>
      <c r="M203" s="10"/>
      <c r="N203" s="10"/>
      <c r="O203" s="10"/>
      <c r="P203" s="10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10"/>
      <c r="H204" s="9"/>
      <c r="I204" s="9"/>
      <c r="J204" s="10"/>
      <c r="K204" s="10"/>
      <c r="L204" s="10"/>
      <c r="M204" s="10"/>
      <c r="N204" s="10"/>
      <c r="O204" s="10"/>
      <c r="P204" s="10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10"/>
      <c r="H205" s="9"/>
      <c r="I205" s="9"/>
      <c r="J205" s="10"/>
      <c r="K205" s="10"/>
      <c r="L205" s="10"/>
      <c r="M205" s="10"/>
      <c r="N205" s="10"/>
      <c r="O205" s="10"/>
      <c r="P205" s="10"/>
    </row>
  </sheetData>
  <dataValidations count="4">
    <dataValidation allowBlank="true" errorStyle="stop" operator="between" showDropDown="false" showErrorMessage="false" showInputMessage="false" sqref="D6:D205" type="list">
      <formula1>Reference!$A$4:$A$10</formula1>
      <formula2>0</formula2>
    </dataValidation>
    <dataValidation allowBlank="true" errorStyle="stop" operator="between" showDropDown="false" showErrorMessage="false" showInputMessage="false" sqref="E6:E205" type="list">
      <formula1>Reference!$C$4:$C$7</formula1>
      <formula2>0</formula2>
    </dataValidation>
    <dataValidation allowBlank="true" errorStyle="stop" operator="between" showDropDown="false" showErrorMessage="false" showInputMessage="false" sqref="F6:F205" type="list">
      <formula1>Reference!$D$4:$D$6</formula1>
      <formula2>0</formula2>
    </dataValidation>
    <dataValidation allowBlank="true" errorStyle="stop" operator="between" showDropDown="false" showErrorMessage="false" showInputMessage="false" sqref="I6:I205" type="list">
      <formula1>Reference!$B$4:$B$7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7"/>
    <col collapsed="false" customWidth="true" hidden="false" outlineLevel="0" max="10" min="4" style="0" width="14"/>
  </cols>
  <sheetData>
    <row r="1" customFormat="false" ht="16.15" hidden="false" customHeight="false" outlineLevel="0" collapsed="false">
      <c r="A1" s="1" t="s">
        <v>98</v>
      </c>
    </row>
    <row r="2" customFormat="false" ht="15" hidden="false" customHeight="false" outlineLevel="0" collapsed="false">
      <c r="A2" s="6" t="s">
        <v>99</v>
      </c>
    </row>
    <row r="4" customFormat="false" ht="15" hidden="false" customHeight="false" outlineLevel="0" collapsed="false">
      <c r="A4" s="7" t="s">
        <v>74</v>
      </c>
      <c r="B4" s="7" t="s">
        <v>100</v>
      </c>
      <c r="C4" s="7" t="s">
        <v>101</v>
      </c>
      <c r="D4" s="7" t="s">
        <v>102</v>
      </c>
      <c r="E4" s="7" t="s">
        <v>103</v>
      </c>
      <c r="F4" s="7" t="s">
        <v>104</v>
      </c>
      <c r="G4" s="7" t="s">
        <v>105</v>
      </c>
      <c r="H4" s="7" t="s">
        <v>106</v>
      </c>
      <c r="I4" s="7" t="s">
        <v>107</v>
      </c>
      <c r="J4" s="7" t="s">
        <v>89</v>
      </c>
    </row>
    <row r="5" customFormat="false" ht="15" hidden="false" customHeight="false" outlineLevel="0" collapsed="false">
      <c r="A5" s="8" t="s">
        <v>90</v>
      </c>
      <c r="B5" s="8" t="n">
        <v>1</v>
      </c>
      <c r="C5" s="8" t="s">
        <v>34</v>
      </c>
      <c r="D5" s="8" t="s">
        <v>108</v>
      </c>
      <c r="E5" s="8" t="n">
        <v>10</v>
      </c>
      <c r="F5" s="8" t="n">
        <v>0.09</v>
      </c>
      <c r="G5" s="8" t="s">
        <v>35</v>
      </c>
      <c r="H5" s="8" t="s">
        <v>36</v>
      </c>
      <c r="I5" s="8" t="n">
        <v>8500</v>
      </c>
      <c r="J5" s="8"/>
    </row>
    <row r="6" customFormat="false" ht="15" hidden="false" customHeight="false" outlineLevel="0" collapsed="false">
      <c r="A6" s="8" t="s">
        <v>90</v>
      </c>
      <c r="B6" s="8" t="n">
        <v>2</v>
      </c>
      <c r="C6" s="8" t="s">
        <v>42</v>
      </c>
      <c r="D6" s="8" t="s">
        <v>109</v>
      </c>
      <c r="E6" s="8" t="n">
        <v>56</v>
      </c>
      <c r="F6" s="8" t="n">
        <v>0.4</v>
      </c>
      <c r="G6" s="8" t="s">
        <v>35</v>
      </c>
      <c r="H6" s="8" t="s">
        <v>36</v>
      </c>
      <c r="I6" s="8" t="n">
        <v>26000</v>
      </c>
      <c r="J6" s="8"/>
    </row>
    <row r="7" customFormat="false" ht="15" hidden="false" customHeight="false" outlineLevel="0" collapsed="false">
      <c r="A7" s="8" t="s">
        <v>90</v>
      </c>
      <c r="B7" s="8" t="n">
        <v>3</v>
      </c>
      <c r="C7" s="8" t="s">
        <v>50</v>
      </c>
      <c r="D7" s="8" t="s">
        <v>110</v>
      </c>
      <c r="E7" s="8" t="n">
        <v>16</v>
      </c>
      <c r="F7" s="8" t="n">
        <v>4.97</v>
      </c>
      <c r="G7" s="8" t="s">
        <v>35</v>
      </c>
      <c r="H7" s="8" t="s">
        <v>36</v>
      </c>
      <c r="I7" s="8" t="n">
        <v>9000</v>
      </c>
      <c r="J7" s="8"/>
    </row>
    <row r="8" customFormat="false" ht="15" hidden="false" customHeight="false" outlineLevel="0" collapsed="false">
      <c r="A8" s="8" t="s">
        <v>90</v>
      </c>
      <c r="B8" s="8" t="n">
        <v>4</v>
      </c>
      <c r="C8" s="8" t="s">
        <v>50</v>
      </c>
      <c r="D8" s="8" t="s">
        <v>111</v>
      </c>
      <c r="E8" s="8" t="n">
        <v>2</v>
      </c>
      <c r="F8" s="8" t="n">
        <v>0.74</v>
      </c>
      <c r="G8" s="8" t="s">
        <v>35</v>
      </c>
      <c r="H8" s="8" t="s">
        <v>36</v>
      </c>
      <c r="I8" s="8" t="n">
        <v>12000</v>
      </c>
      <c r="J8" s="8"/>
    </row>
    <row r="9" customFormat="false" ht="15" hidden="false" customHeight="false" outlineLevel="0" collapsed="false">
      <c r="A9" s="8" t="s">
        <v>90</v>
      </c>
      <c r="B9" s="8" t="n">
        <v>5</v>
      </c>
      <c r="C9" s="8" t="s">
        <v>57</v>
      </c>
      <c r="D9" s="8"/>
      <c r="E9" s="8"/>
      <c r="F9" s="8" t="n">
        <v>9.51</v>
      </c>
      <c r="G9" s="8" t="s">
        <v>43</v>
      </c>
      <c r="H9" s="8" t="s">
        <v>36</v>
      </c>
      <c r="I9" s="8" t="n">
        <v>4093</v>
      </c>
      <c r="J9" s="8" t="s">
        <v>112</v>
      </c>
    </row>
    <row r="10" customFormat="false" ht="15" hidden="false" customHeight="false" outlineLevel="0" collapsed="false">
      <c r="A10" s="8" t="s">
        <v>90</v>
      </c>
      <c r="B10" s="8" t="n">
        <v>6</v>
      </c>
      <c r="C10" s="8" t="s">
        <v>61</v>
      </c>
      <c r="D10" s="8"/>
      <c r="E10" s="8" t="n">
        <v>10</v>
      </c>
      <c r="F10" s="8" t="n">
        <v>0.34</v>
      </c>
      <c r="G10" s="8" t="s">
        <v>43</v>
      </c>
      <c r="H10" s="8" t="s">
        <v>36</v>
      </c>
      <c r="I10" s="8" t="n">
        <v>4093</v>
      </c>
      <c r="J10" s="8"/>
    </row>
    <row r="11" customFormat="false" ht="15" hidden="false" customHeight="false" outlineLevel="0" collapsed="false">
      <c r="A11" s="8" t="s">
        <v>90</v>
      </c>
      <c r="B11" s="8" t="n">
        <v>7</v>
      </c>
      <c r="C11" s="8" t="s">
        <v>65</v>
      </c>
      <c r="D11" s="8"/>
      <c r="E11" s="8" t="n">
        <v>2</v>
      </c>
      <c r="F11" s="8" t="n">
        <v>6.4</v>
      </c>
      <c r="G11" s="8" t="s">
        <v>35</v>
      </c>
      <c r="H11" s="8" t="s">
        <v>36</v>
      </c>
      <c r="I11" s="8" t="n">
        <v>500</v>
      </c>
      <c r="J11" s="8"/>
    </row>
    <row r="12" customFormat="false" ht="15" hidden="false" customHeight="false" outlineLevel="0" collapsed="false">
      <c r="A12" s="8" t="s">
        <v>90</v>
      </c>
      <c r="B12" s="8" t="n">
        <v>8</v>
      </c>
      <c r="C12" s="8" t="s">
        <v>68</v>
      </c>
      <c r="D12" s="8"/>
      <c r="E12" s="8"/>
      <c r="F12" s="8"/>
      <c r="G12" s="8" t="s">
        <v>43</v>
      </c>
      <c r="H12" s="8" t="s">
        <v>44</v>
      </c>
      <c r="I12" s="8" t="n">
        <v>1000</v>
      </c>
      <c r="J12" s="8" t="s">
        <v>113</v>
      </c>
    </row>
    <row r="13" customFormat="false" ht="15" hidden="false" customHeight="false" outlineLevel="0" collapsed="false">
      <c r="A13" s="9"/>
      <c r="B13" s="9"/>
      <c r="C13" s="9"/>
      <c r="D13" s="10"/>
      <c r="E13" s="10"/>
      <c r="F13" s="9"/>
      <c r="G13" s="9"/>
      <c r="H13" s="9"/>
      <c r="I13" s="10"/>
      <c r="J13" s="10"/>
    </row>
    <row r="14" customFormat="false" ht="15" hidden="false" customHeight="false" outlineLevel="0" collapsed="false">
      <c r="A14" s="9"/>
      <c r="B14" s="9"/>
      <c r="C14" s="9"/>
      <c r="D14" s="10"/>
      <c r="E14" s="10"/>
      <c r="F14" s="9"/>
      <c r="G14" s="9"/>
      <c r="H14" s="9"/>
      <c r="I14" s="10"/>
      <c r="J14" s="10"/>
    </row>
    <row r="15" customFormat="false" ht="15" hidden="false" customHeight="false" outlineLevel="0" collapsed="false">
      <c r="A15" s="9"/>
      <c r="B15" s="9"/>
      <c r="C15" s="9"/>
      <c r="D15" s="10"/>
      <c r="E15" s="10"/>
      <c r="F15" s="9"/>
      <c r="G15" s="9"/>
      <c r="H15" s="9"/>
      <c r="I15" s="10"/>
      <c r="J15" s="10"/>
    </row>
    <row r="16" customFormat="false" ht="15" hidden="false" customHeight="false" outlineLevel="0" collapsed="false">
      <c r="A16" s="9"/>
      <c r="B16" s="9"/>
      <c r="C16" s="9"/>
      <c r="D16" s="10"/>
      <c r="E16" s="10"/>
      <c r="F16" s="9"/>
      <c r="G16" s="9"/>
      <c r="H16" s="9"/>
      <c r="I16" s="10"/>
      <c r="J16" s="10"/>
    </row>
    <row r="17" customFormat="false" ht="15" hidden="false" customHeight="false" outlineLevel="0" collapsed="false">
      <c r="A17" s="9"/>
      <c r="B17" s="9"/>
      <c r="C17" s="9"/>
      <c r="D17" s="10"/>
      <c r="E17" s="10"/>
      <c r="F17" s="9"/>
      <c r="G17" s="9"/>
      <c r="H17" s="9"/>
      <c r="I17" s="10"/>
      <c r="J17" s="10"/>
    </row>
    <row r="18" customFormat="false" ht="15" hidden="false" customHeight="false" outlineLevel="0" collapsed="false">
      <c r="A18" s="9"/>
      <c r="B18" s="9"/>
      <c r="C18" s="9"/>
      <c r="D18" s="10"/>
      <c r="E18" s="10"/>
      <c r="F18" s="9"/>
      <c r="G18" s="9"/>
      <c r="H18" s="9"/>
      <c r="I18" s="10"/>
      <c r="J18" s="10"/>
    </row>
    <row r="19" customFormat="false" ht="15" hidden="false" customHeight="false" outlineLevel="0" collapsed="false">
      <c r="A19" s="9"/>
      <c r="B19" s="9"/>
      <c r="C19" s="9"/>
      <c r="D19" s="10"/>
      <c r="E19" s="10"/>
      <c r="F19" s="9"/>
      <c r="G19" s="9"/>
      <c r="H19" s="9"/>
      <c r="I19" s="10"/>
      <c r="J19" s="10"/>
    </row>
    <row r="20" customFormat="false" ht="15" hidden="false" customHeight="false" outlineLevel="0" collapsed="false">
      <c r="A20" s="9"/>
      <c r="B20" s="9"/>
      <c r="C20" s="9"/>
      <c r="D20" s="10"/>
      <c r="E20" s="10"/>
      <c r="F20" s="9"/>
      <c r="G20" s="9"/>
      <c r="H20" s="9"/>
      <c r="I20" s="10"/>
      <c r="J20" s="10"/>
    </row>
    <row r="21" customFormat="false" ht="15" hidden="false" customHeight="false" outlineLevel="0" collapsed="false">
      <c r="A21" s="9"/>
      <c r="B21" s="9"/>
      <c r="C21" s="9"/>
      <c r="D21" s="10"/>
      <c r="E21" s="10"/>
      <c r="F21" s="9"/>
      <c r="G21" s="9"/>
      <c r="H21" s="9"/>
      <c r="I21" s="10"/>
      <c r="J21" s="10"/>
    </row>
    <row r="22" customFormat="false" ht="15" hidden="false" customHeight="false" outlineLevel="0" collapsed="false">
      <c r="A22" s="9"/>
      <c r="B22" s="9"/>
      <c r="C22" s="9"/>
      <c r="D22" s="10"/>
      <c r="E22" s="10"/>
      <c r="F22" s="9"/>
      <c r="G22" s="9"/>
      <c r="H22" s="9"/>
      <c r="I22" s="10"/>
      <c r="J22" s="10"/>
    </row>
    <row r="23" customFormat="false" ht="15" hidden="false" customHeight="false" outlineLevel="0" collapsed="false">
      <c r="A23" s="9"/>
      <c r="B23" s="9"/>
      <c r="C23" s="9"/>
      <c r="D23" s="10"/>
      <c r="E23" s="10"/>
      <c r="F23" s="9"/>
      <c r="G23" s="9"/>
      <c r="H23" s="9"/>
      <c r="I23" s="10"/>
      <c r="J23" s="10"/>
    </row>
    <row r="24" customFormat="false" ht="15" hidden="false" customHeight="false" outlineLevel="0" collapsed="false">
      <c r="A24" s="9"/>
      <c r="B24" s="9"/>
      <c r="C24" s="9"/>
      <c r="D24" s="10"/>
      <c r="E24" s="10"/>
      <c r="F24" s="9"/>
      <c r="G24" s="9"/>
      <c r="H24" s="9"/>
      <c r="I24" s="10"/>
      <c r="J24" s="10"/>
    </row>
    <row r="25" customFormat="false" ht="15" hidden="false" customHeight="false" outlineLevel="0" collapsed="false">
      <c r="A25" s="9"/>
      <c r="B25" s="9"/>
      <c r="C25" s="9"/>
      <c r="D25" s="10"/>
      <c r="E25" s="10"/>
      <c r="F25" s="9"/>
      <c r="G25" s="9"/>
      <c r="H25" s="9"/>
      <c r="I25" s="10"/>
      <c r="J25" s="10"/>
    </row>
    <row r="26" customFormat="false" ht="15" hidden="false" customHeight="false" outlineLevel="0" collapsed="false">
      <c r="A26" s="9"/>
      <c r="B26" s="9"/>
      <c r="C26" s="9"/>
      <c r="D26" s="10"/>
      <c r="E26" s="10"/>
      <c r="F26" s="9"/>
      <c r="G26" s="9"/>
      <c r="H26" s="9"/>
      <c r="I26" s="10"/>
      <c r="J26" s="10"/>
    </row>
    <row r="27" customFormat="false" ht="15" hidden="false" customHeight="false" outlineLevel="0" collapsed="false">
      <c r="A27" s="9"/>
      <c r="B27" s="9"/>
      <c r="C27" s="9"/>
      <c r="D27" s="10"/>
      <c r="E27" s="10"/>
      <c r="F27" s="9"/>
      <c r="G27" s="9"/>
      <c r="H27" s="9"/>
      <c r="I27" s="10"/>
      <c r="J27" s="10"/>
    </row>
    <row r="28" customFormat="false" ht="15" hidden="false" customHeight="false" outlineLevel="0" collapsed="false">
      <c r="A28" s="9"/>
      <c r="B28" s="9"/>
      <c r="C28" s="9"/>
      <c r="D28" s="10"/>
      <c r="E28" s="10"/>
      <c r="F28" s="9"/>
      <c r="G28" s="9"/>
      <c r="H28" s="9"/>
      <c r="I28" s="10"/>
      <c r="J28" s="10"/>
    </row>
    <row r="29" customFormat="false" ht="15" hidden="false" customHeight="false" outlineLevel="0" collapsed="false">
      <c r="A29" s="9"/>
      <c r="B29" s="9"/>
      <c r="C29" s="9"/>
      <c r="D29" s="10"/>
      <c r="E29" s="10"/>
      <c r="F29" s="9"/>
      <c r="G29" s="9"/>
      <c r="H29" s="9"/>
      <c r="I29" s="10"/>
      <c r="J29" s="10"/>
    </row>
    <row r="30" customFormat="false" ht="15" hidden="false" customHeight="false" outlineLevel="0" collapsed="false">
      <c r="A30" s="9"/>
      <c r="B30" s="9"/>
      <c r="C30" s="9"/>
      <c r="D30" s="10"/>
      <c r="E30" s="10"/>
      <c r="F30" s="9"/>
      <c r="G30" s="9"/>
      <c r="H30" s="9"/>
      <c r="I30" s="10"/>
      <c r="J30" s="10"/>
    </row>
    <row r="31" customFormat="false" ht="15" hidden="false" customHeight="false" outlineLevel="0" collapsed="false">
      <c r="A31" s="9"/>
      <c r="B31" s="9"/>
      <c r="C31" s="9"/>
      <c r="D31" s="10"/>
      <c r="E31" s="10"/>
      <c r="F31" s="9"/>
      <c r="G31" s="9"/>
      <c r="H31" s="9"/>
      <c r="I31" s="10"/>
      <c r="J31" s="10"/>
    </row>
    <row r="32" customFormat="false" ht="15" hidden="false" customHeight="false" outlineLevel="0" collapsed="false">
      <c r="A32" s="9"/>
      <c r="B32" s="9"/>
      <c r="C32" s="9"/>
      <c r="D32" s="10"/>
      <c r="E32" s="10"/>
      <c r="F32" s="9"/>
      <c r="G32" s="9"/>
      <c r="H32" s="9"/>
      <c r="I32" s="10"/>
      <c r="J32" s="10"/>
    </row>
    <row r="33" customFormat="false" ht="15" hidden="false" customHeight="false" outlineLevel="0" collapsed="false">
      <c r="A33" s="9"/>
      <c r="B33" s="9"/>
      <c r="C33" s="9"/>
      <c r="D33" s="10"/>
      <c r="E33" s="10"/>
      <c r="F33" s="9"/>
      <c r="G33" s="9"/>
      <c r="H33" s="9"/>
      <c r="I33" s="10"/>
      <c r="J33" s="10"/>
    </row>
    <row r="34" customFormat="false" ht="15" hidden="false" customHeight="false" outlineLevel="0" collapsed="false">
      <c r="A34" s="9"/>
      <c r="B34" s="9"/>
      <c r="C34" s="9"/>
      <c r="D34" s="10"/>
      <c r="E34" s="10"/>
      <c r="F34" s="9"/>
      <c r="G34" s="9"/>
      <c r="H34" s="9"/>
      <c r="I34" s="10"/>
      <c r="J34" s="10"/>
    </row>
    <row r="35" customFormat="false" ht="15" hidden="false" customHeight="false" outlineLevel="0" collapsed="false">
      <c r="A35" s="9"/>
      <c r="B35" s="9"/>
      <c r="C35" s="9"/>
      <c r="D35" s="10"/>
      <c r="E35" s="10"/>
      <c r="F35" s="9"/>
      <c r="G35" s="9"/>
      <c r="H35" s="9"/>
      <c r="I35" s="10"/>
      <c r="J35" s="10"/>
    </row>
    <row r="36" customFormat="false" ht="15" hidden="false" customHeight="false" outlineLevel="0" collapsed="false">
      <c r="A36" s="9"/>
      <c r="B36" s="9"/>
      <c r="C36" s="9"/>
      <c r="D36" s="10"/>
      <c r="E36" s="10"/>
      <c r="F36" s="9"/>
      <c r="G36" s="9"/>
      <c r="H36" s="9"/>
      <c r="I36" s="10"/>
      <c r="J36" s="10"/>
    </row>
    <row r="37" customFormat="false" ht="15" hidden="false" customHeight="false" outlineLevel="0" collapsed="false">
      <c r="A37" s="9"/>
      <c r="B37" s="9"/>
      <c r="C37" s="9"/>
      <c r="D37" s="10"/>
      <c r="E37" s="10"/>
      <c r="F37" s="9"/>
      <c r="G37" s="9"/>
      <c r="H37" s="9"/>
      <c r="I37" s="10"/>
      <c r="J37" s="10"/>
    </row>
    <row r="38" customFormat="false" ht="15" hidden="false" customHeight="false" outlineLevel="0" collapsed="false">
      <c r="A38" s="9"/>
      <c r="B38" s="9"/>
      <c r="C38" s="9"/>
      <c r="D38" s="10"/>
      <c r="E38" s="10"/>
      <c r="F38" s="9"/>
      <c r="G38" s="9"/>
      <c r="H38" s="9"/>
      <c r="I38" s="10"/>
      <c r="J38" s="10"/>
    </row>
    <row r="39" customFormat="false" ht="15" hidden="false" customHeight="false" outlineLevel="0" collapsed="false">
      <c r="A39" s="9"/>
      <c r="B39" s="9"/>
      <c r="C39" s="9"/>
      <c r="D39" s="10"/>
      <c r="E39" s="10"/>
      <c r="F39" s="9"/>
      <c r="G39" s="9"/>
      <c r="H39" s="9"/>
      <c r="I39" s="10"/>
      <c r="J39" s="10"/>
    </row>
    <row r="40" customFormat="false" ht="15" hidden="false" customHeight="false" outlineLevel="0" collapsed="false">
      <c r="A40" s="9"/>
      <c r="B40" s="9"/>
      <c r="C40" s="9"/>
      <c r="D40" s="10"/>
      <c r="E40" s="10"/>
      <c r="F40" s="9"/>
      <c r="G40" s="9"/>
      <c r="H40" s="9"/>
      <c r="I40" s="10"/>
      <c r="J40" s="10"/>
    </row>
    <row r="41" customFormat="false" ht="15" hidden="false" customHeight="false" outlineLevel="0" collapsed="false">
      <c r="A41" s="9"/>
      <c r="B41" s="9"/>
      <c r="C41" s="9"/>
      <c r="D41" s="10"/>
      <c r="E41" s="10"/>
      <c r="F41" s="9"/>
      <c r="G41" s="9"/>
      <c r="H41" s="9"/>
      <c r="I41" s="10"/>
      <c r="J41" s="10"/>
    </row>
    <row r="42" customFormat="false" ht="15" hidden="false" customHeight="false" outlineLevel="0" collapsed="false">
      <c r="A42" s="9"/>
      <c r="B42" s="9"/>
      <c r="C42" s="9"/>
      <c r="D42" s="10"/>
      <c r="E42" s="10"/>
      <c r="F42" s="9"/>
      <c r="G42" s="9"/>
      <c r="H42" s="9"/>
      <c r="I42" s="10"/>
      <c r="J42" s="10"/>
    </row>
    <row r="43" customFormat="false" ht="15" hidden="false" customHeight="false" outlineLevel="0" collapsed="false">
      <c r="A43" s="9"/>
      <c r="B43" s="9"/>
      <c r="C43" s="9"/>
      <c r="D43" s="10"/>
      <c r="E43" s="10"/>
      <c r="F43" s="9"/>
      <c r="G43" s="9"/>
      <c r="H43" s="9"/>
      <c r="I43" s="10"/>
      <c r="J43" s="10"/>
    </row>
    <row r="44" customFormat="false" ht="15" hidden="false" customHeight="false" outlineLevel="0" collapsed="false">
      <c r="A44" s="9"/>
      <c r="B44" s="9"/>
      <c r="C44" s="9"/>
      <c r="D44" s="10"/>
      <c r="E44" s="10"/>
      <c r="F44" s="9"/>
      <c r="G44" s="9"/>
      <c r="H44" s="9"/>
      <c r="I44" s="10"/>
      <c r="J44" s="10"/>
    </row>
    <row r="45" customFormat="false" ht="15" hidden="false" customHeight="false" outlineLevel="0" collapsed="false">
      <c r="A45" s="9"/>
      <c r="B45" s="9"/>
      <c r="C45" s="9"/>
      <c r="D45" s="10"/>
      <c r="E45" s="10"/>
      <c r="F45" s="9"/>
      <c r="G45" s="9"/>
      <c r="H45" s="9"/>
      <c r="I45" s="10"/>
      <c r="J45" s="10"/>
    </row>
    <row r="46" customFormat="false" ht="15" hidden="false" customHeight="false" outlineLevel="0" collapsed="false">
      <c r="A46" s="9"/>
      <c r="B46" s="9"/>
      <c r="C46" s="9"/>
      <c r="D46" s="10"/>
      <c r="E46" s="10"/>
      <c r="F46" s="9"/>
      <c r="G46" s="9"/>
      <c r="H46" s="9"/>
      <c r="I46" s="10"/>
      <c r="J46" s="10"/>
    </row>
    <row r="47" customFormat="false" ht="15" hidden="false" customHeight="false" outlineLevel="0" collapsed="false">
      <c r="A47" s="9"/>
      <c r="B47" s="9"/>
      <c r="C47" s="9"/>
      <c r="D47" s="10"/>
      <c r="E47" s="10"/>
      <c r="F47" s="9"/>
      <c r="G47" s="9"/>
      <c r="H47" s="9"/>
      <c r="I47" s="10"/>
      <c r="J47" s="10"/>
    </row>
    <row r="48" customFormat="false" ht="15" hidden="false" customHeight="false" outlineLevel="0" collapsed="false">
      <c r="A48" s="9"/>
      <c r="B48" s="9"/>
      <c r="C48" s="9"/>
      <c r="D48" s="10"/>
      <c r="E48" s="10"/>
      <c r="F48" s="9"/>
      <c r="G48" s="9"/>
      <c r="H48" s="9"/>
      <c r="I48" s="10"/>
      <c r="J48" s="10"/>
    </row>
    <row r="49" customFormat="false" ht="15" hidden="false" customHeight="false" outlineLevel="0" collapsed="false">
      <c r="A49" s="9"/>
      <c r="B49" s="9"/>
      <c r="C49" s="9"/>
      <c r="D49" s="10"/>
      <c r="E49" s="10"/>
      <c r="F49" s="9"/>
      <c r="G49" s="9"/>
      <c r="H49" s="9"/>
      <c r="I49" s="10"/>
      <c r="J49" s="10"/>
    </row>
    <row r="50" customFormat="false" ht="15" hidden="false" customHeight="false" outlineLevel="0" collapsed="false">
      <c r="A50" s="9"/>
      <c r="B50" s="9"/>
      <c r="C50" s="9"/>
      <c r="D50" s="10"/>
      <c r="E50" s="10"/>
      <c r="F50" s="9"/>
      <c r="G50" s="9"/>
      <c r="H50" s="9"/>
      <c r="I50" s="10"/>
      <c r="J50" s="10"/>
    </row>
    <row r="51" customFormat="false" ht="15" hidden="false" customHeight="false" outlineLevel="0" collapsed="false">
      <c r="A51" s="9"/>
      <c r="B51" s="9"/>
      <c r="C51" s="9"/>
      <c r="D51" s="10"/>
      <c r="E51" s="10"/>
      <c r="F51" s="9"/>
      <c r="G51" s="9"/>
      <c r="H51" s="9"/>
      <c r="I51" s="10"/>
      <c r="J51" s="10"/>
    </row>
    <row r="52" customFormat="false" ht="15" hidden="false" customHeight="false" outlineLevel="0" collapsed="false">
      <c r="A52" s="9"/>
      <c r="B52" s="9"/>
      <c r="C52" s="9"/>
      <c r="D52" s="10"/>
      <c r="E52" s="10"/>
      <c r="F52" s="9"/>
      <c r="G52" s="9"/>
      <c r="H52" s="9"/>
      <c r="I52" s="10"/>
      <c r="J52" s="10"/>
    </row>
    <row r="53" customFormat="false" ht="15" hidden="false" customHeight="false" outlineLevel="0" collapsed="false">
      <c r="A53" s="9"/>
      <c r="B53" s="9"/>
      <c r="C53" s="9"/>
      <c r="D53" s="10"/>
      <c r="E53" s="10"/>
      <c r="F53" s="9"/>
      <c r="G53" s="9"/>
      <c r="H53" s="9"/>
      <c r="I53" s="10"/>
      <c r="J53" s="10"/>
    </row>
    <row r="54" customFormat="false" ht="15" hidden="false" customHeight="false" outlineLevel="0" collapsed="false">
      <c r="A54" s="9"/>
      <c r="B54" s="9"/>
      <c r="C54" s="9"/>
      <c r="D54" s="10"/>
      <c r="E54" s="10"/>
      <c r="F54" s="9"/>
      <c r="G54" s="9"/>
      <c r="H54" s="9"/>
      <c r="I54" s="10"/>
      <c r="J54" s="10"/>
    </row>
    <row r="55" customFormat="false" ht="15" hidden="false" customHeight="false" outlineLevel="0" collapsed="false">
      <c r="A55" s="9"/>
      <c r="B55" s="9"/>
      <c r="C55" s="9"/>
      <c r="D55" s="10"/>
      <c r="E55" s="10"/>
      <c r="F55" s="9"/>
      <c r="G55" s="9"/>
      <c r="H55" s="9"/>
      <c r="I55" s="10"/>
      <c r="J55" s="10"/>
    </row>
    <row r="56" customFormat="false" ht="15" hidden="false" customHeight="false" outlineLevel="0" collapsed="false">
      <c r="A56" s="9"/>
      <c r="B56" s="9"/>
      <c r="C56" s="9"/>
      <c r="D56" s="10"/>
      <c r="E56" s="10"/>
      <c r="F56" s="9"/>
      <c r="G56" s="9"/>
      <c r="H56" s="9"/>
      <c r="I56" s="10"/>
      <c r="J56" s="10"/>
    </row>
    <row r="57" customFormat="false" ht="15" hidden="false" customHeight="false" outlineLevel="0" collapsed="false">
      <c r="A57" s="9"/>
      <c r="B57" s="9"/>
      <c r="C57" s="9"/>
      <c r="D57" s="10"/>
      <c r="E57" s="10"/>
      <c r="F57" s="9"/>
      <c r="G57" s="9"/>
      <c r="H57" s="9"/>
      <c r="I57" s="10"/>
      <c r="J57" s="10"/>
    </row>
    <row r="58" customFormat="false" ht="15" hidden="false" customHeight="false" outlineLevel="0" collapsed="false">
      <c r="A58" s="9"/>
      <c r="B58" s="9"/>
      <c r="C58" s="9"/>
      <c r="D58" s="10"/>
      <c r="E58" s="10"/>
      <c r="F58" s="9"/>
      <c r="G58" s="9"/>
      <c r="H58" s="9"/>
      <c r="I58" s="10"/>
      <c r="J58" s="10"/>
    </row>
    <row r="59" customFormat="false" ht="15" hidden="false" customHeight="false" outlineLevel="0" collapsed="false">
      <c r="A59" s="9"/>
      <c r="B59" s="9"/>
      <c r="C59" s="9"/>
      <c r="D59" s="10"/>
      <c r="E59" s="10"/>
      <c r="F59" s="9"/>
      <c r="G59" s="9"/>
      <c r="H59" s="9"/>
      <c r="I59" s="10"/>
      <c r="J59" s="10"/>
    </row>
    <row r="60" customFormat="false" ht="15" hidden="false" customHeight="false" outlineLevel="0" collapsed="false">
      <c r="A60" s="9"/>
      <c r="B60" s="9"/>
      <c r="C60" s="9"/>
      <c r="D60" s="10"/>
      <c r="E60" s="10"/>
      <c r="F60" s="9"/>
      <c r="G60" s="9"/>
      <c r="H60" s="9"/>
      <c r="I60" s="10"/>
      <c r="J60" s="10"/>
    </row>
    <row r="61" customFormat="false" ht="15" hidden="false" customHeight="false" outlineLevel="0" collapsed="false">
      <c r="A61" s="9"/>
      <c r="B61" s="9"/>
      <c r="C61" s="9"/>
      <c r="D61" s="10"/>
      <c r="E61" s="10"/>
      <c r="F61" s="9"/>
      <c r="G61" s="9"/>
      <c r="H61" s="9"/>
      <c r="I61" s="10"/>
      <c r="J61" s="10"/>
    </row>
    <row r="62" customFormat="false" ht="15" hidden="false" customHeight="false" outlineLevel="0" collapsed="false">
      <c r="A62" s="9"/>
      <c r="B62" s="9"/>
      <c r="C62" s="9"/>
      <c r="D62" s="10"/>
      <c r="E62" s="10"/>
      <c r="F62" s="9"/>
      <c r="G62" s="9"/>
      <c r="H62" s="9"/>
      <c r="I62" s="10"/>
      <c r="J62" s="10"/>
    </row>
    <row r="63" customFormat="false" ht="15" hidden="false" customHeight="false" outlineLevel="0" collapsed="false">
      <c r="A63" s="9"/>
      <c r="B63" s="9"/>
      <c r="C63" s="9"/>
      <c r="D63" s="10"/>
      <c r="E63" s="10"/>
      <c r="F63" s="9"/>
      <c r="G63" s="9"/>
      <c r="H63" s="9"/>
      <c r="I63" s="10"/>
      <c r="J63" s="10"/>
    </row>
    <row r="64" customFormat="false" ht="15" hidden="false" customHeight="false" outlineLevel="0" collapsed="false">
      <c r="A64" s="9"/>
      <c r="B64" s="9"/>
      <c r="C64" s="9"/>
      <c r="D64" s="10"/>
      <c r="E64" s="10"/>
      <c r="F64" s="9"/>
      <c r="G64" s="9"/>
      <c r="H64" s="9"/>
      <c r="I64" s="10"/>
      <c r="J64" s="10"/>
    </row>
    <row r="65" customFormat="false" ht="15" hidden="false" customHeight="false" outlineLevel="0" collapsed="false">
      <c r="A65" s="9"/>
      <c r="B65" s="9"/>
      <c r="C65" s="9"/>
      <c r="D65" s="10"/>
      <c r="E65" s="10"/>
      <c r="F65" s="9"/>
      <c r="G65" s="9"/>
      <c r="H65" s="9"/>
      <c r="I65" s="10"/>
      <c r="J65" s="10"/>
    </row>
    <row r="66" customFormat="false" ht="15" hidden="false" customHeight="false" outlineLevel="0" collapsed="false">
      <c r="A66" s="9"/>
      <c r="B66" s="9"/>
      <c r="C66" s="9"/>
      <c r="D66" s="10"/>
      <c r="E66" s="10"/>
      <c r="F66" s="9"/>
      <c r="G66" s="9"/>
      <c r="H66" s="9"/>
      <c r="I66" s="10"/>
      <c r="J66" s="10"/>
    </row>
    <row r="67" customFormat="false" ht="15" hidden="false" customHeight="false" outlineLevel="0" collapsed="false">
      <c r="A67" s="9"/>
      <c r="B67" s="9"/>
      <c r="C67" s="9"/>
      <c r="D67" s="10"/>
      <c r="E67" s="10"/>
      <c r="F67" s="9"/>
      <c r="G67" s="9"/>
      <c r="H67" s="9"/>
      <c r="I67" s="10"/>
      <c r="J67" s="10"/>
    </row>
    <row r="68" customFormat="false" ht="15" hidden="false" customHeight="false" outlineLevel="0" collapsed="false">
      <c r="A68" s="9"/>
      <c r="B68" s="9"/>
      <c r="C68" s="9"/>
      <c r="D68" s="10"/>
      <c r="E68" s="10"/>
      <c r="F68" s="9"/>
      <c r="G68" s="9"/>
      <c r="H68" s="9"/>
      <c r="I68" s="10"/>
      <c r="J68" s="10"/>
    </row>
    <row r="69" customFormat="false" ht="15" hidden="false" customHeight="false" outlineLevel="0" collapsed="false">
      <c r="A69" s="9"/>
      <c r="B69" s="9"/>
      <c r="C69" s="9"/>
      <c r="D69" s="10"/>
      <c r="E69" s="10"/>
      <c r="F69" s="9"/>
      <c r="G69" s="9"/>
      <c r="H69" s="9"/>
      <c r="I69" s="10"/>
      <c r="J69" s="10"/>
    </row>
    <row r="70" customFormat="false" ht="15" hidden="false" customHeight="false" outlineLevel="0" collapsed="false">
      <c r="A70" s="9"/>
      <c r="B70" s="9"/>
      <c r="C70" s="9"/>
      <c r="D70" s="10"/>
      <c r="E70" s="10"/>
      <c r="F70" s="9"/>
      <c r="G70" s="9"/>
      <c r="H70" s="9"/>
      <c r="I70" s="10"/>
      <c r="J70" s="10"/>
    </row>
    <row r="71" customFormat="false" ht="15" hidden="false" customHeight="false" outlineLevel="0" collapsed="false">
      <c r="A71" s="9"/>
      <c r="B71" s="9"/>
      <c r="C71" s="9"/>
      <c r="D71" s="10"/>
      <c r="E71" s="10"/>
      <c r="F71" s="9"/>
      <c r="G71" s="9"/>
      <c r="H71" s="9"/>
      <c r="I71" s="10"/>
      <c r="J71" s="10"/>
    </row>
    <row r="72" customFormat="false" ht="15" hidden="false" customHeight="false" outlineLevel="0" collapsed="false">
      <c r="A72" s="9"/>
      <c r="B72" s="9"/>
      <c r="C72" s="9"/>
      <c r="D72" s="10"/>
      <c r="E72" s="10"/>
      <c r="F72" s="9"/>
      <c r="G72" s="9"/>
      <c r="H72" s="9"/>
      <c r="I72" s="10"/>
      <c r="J72" s="10"/>
    </row>
    <row r="73" customFormat="false" ht="15" hidden="false" customHeight="false" outlineLevel="0" collapsed="false">
      <c r="A73" s="9"/>
      <c r="B73" s="9"/>
      <c r="C73" s="9"/>
      <c r="D73" s="10"/>
      <c r="E73" s="10"/>
      <c r="F73" s="9"/>
      <c r="G73" s="9"/>
      <c r="H73" s="9"/>
      <c r="I73" s="10"/>
      <c r="J73" s="10"/>
    </row>
    <row r="74" customFormat="false" ht="15" hidden="false" customHeight="false" outlineLevel="0" collapsed="false">
      <c r="A74" s="9"/>
      <c r="B74" s="9"/>
      <c r="C74" s="9"/>
      <c r="D74" s="10"/>
      <c r="E74" s="10"/>
      <c r="F74" s="9"/>
      <c r="G74" s="9"/>
      <c r="H74" s="9"/>
      <c r="I74" s="10"/>
      <c r="J74" s="10"/>
    </row>
    <row r="75" customFormat="false" ht="15" hidden="false" customHeight="false" outlineLevel="0" collapsed="false">
      <c r="A75" s="9"/>
      <c r="B75" s="9"/>
      <c r="C75" s="9"/>
      <c r="D75" s="10"/>
      <c r="E75" s="10"/>
      <c r="F75" s="9"/>
      <c r="G75" s="9"/>
      <c r="H75" s="9"/>
      <c r="I75" s="10"/>
      <c r="J75" s="10"/>
    </row>
    <row r="76" customFormat="false" ht="15" hidden="false" customHeight="false" outlineLevel="0" collapsed="false">
      <c r="A76" s="9"/>
      <c r="B76" s="9"/>
      <c r="C76" s="9"/>
      <c r="D76" s="10"/>
      <c r="E76" s="10"/>
      <c r="F76" s="9"/>
      <c r="G76" s="9"/>
      <c r="H76" s="9"/>
      <c r="I76" s="10"/>
      <c r="J76" s="10"/>
    </row>
    <row r="77" customFormat="false" ht="15" hidden="false" customHeight="false" outlineLevel="0" collapsed="false">
      <c r="A77" s="9"/>
      <c r="B77" s="9"/>
      <c r="C77" s="9"/>
      <c r="D77" s="10"/>
      <c r="E77" s="10"/>
      <c r="F77" s="9"/>
      <c r="G77" s="9"/>
      <c r="H77" s="9"/>
      <c r="I77" s="10"/>
      <c r="J77" s="10"/>
    </row>
    <row r="78" customFormat="false" ht="15" hidden="false" customHeight="false" outlineLevel="0" collapsed="false">
      <c r="A78" s="9"/>
      <c r="B78" s="9"/>
      <c r="C78" s="9"/>
      <c r="D78" s="10"/>
      <c r="E78" s="10"/>
      <c r="F78" s="9"/>
      <c r="G78" s="9"/>
      <c r="H78" s="9"/>
      <c r="I78" s="10"/>
      <c r="J78" s="10"/>
    </row>
    <row r="79" customFormat="false" ht="15" hidden="false" customHeight="false" outlineLevel="0" collapsed="false">
      <c r="A79" s="9"/>
      <c r="B79" s="9"/>
      <c r="C79" s="9"/>
      <c r="D79" s="10"/>
      <c r="E79" s="10"/>
      <c r="F79" s="9"/>
      <c r="G79" s="9"/>
      <c r="H79" s="9"/>
      <c r="I79" s="10"/>
      <c r="J79" s="10"/>
    </row>
    <row r="80" customFormat="false" ht="15" hidden="false" customHeight="false" outlineLevel="0" collapsed="false">
      <c r="A80" s="9"/>
      <c r="B80" s="9"/>
      <c r="C80" s="9"/>
      <c r="D80" s="10"/>
      <c r="E80" s="10"/>
      <c r="F80" s="9"/>
      <c r="G80" s="9"/>
      <c r="H80" s="9"/>
      <c r="I80" s="10"/>
      <c r="J80" s="10"/>
    </row>
    <row r="81" customFormat="false" ht="15" hidden="false" customHeight="false" outlineLevel="0" collapsed="false">
      <c r="A81" s="9"/>
      <c r="B81" s="9"/>
      <c r="C81" s="9"/>
      <c r="D81" s="10"/>
      <c r="E81" s="10"/>
      <c r="F81" s="9"/>
      <c r="G81" s="9"/>
      <c r="H81" s="9"/>
      <c r="I81" s="10"/>
      <c r="J81" s="10"/>
    </row>
    <row r="82" customFormat="false" ht="15" hidden="false" customHeight="false" outlineLevel="0" collapsed="false">
      <c r="A82" s="9"/>
      <c r="B82" s="9"/>
      <c r="C82" s="9"/>
      <c r="D82" s="10"/>
      <c r="E82" s="10"/>
      <c r="F82" s="9"/>
      <c r="G82" s="9"/>
      <c r="H82" s="9"/>
      <c r="I82" s="10"/>
      <c r="J82" s="10"/>
    </row>
    <row r="83" customFormat="false" ht="15" hidden="false" customHeight="false" outlineLevel="0" collapsed="false">
      <c r="A83" s="9"/>
      <c r="B83" s="9"/>
      <c r="C83" s="9"/>
      <c r="D83" s="10"/>
      <c r="E83" s="10"/>
      <c r="F83" s="9"/>
      <c r="G83" s="9"/>
      <c r="H83" s="9"/>
      <c r="I83" s="10"/>
      <c r="J83" s="10"/>
    </row>
    <row r="84" customFormat="false" ht="15" hidden="false" customHeight="false" outlineLevel="0" collapsed="false">
      <c r="A84" s="9"/>
      <c r="B84" s="9"/>
      <c r="C84" s="9"/>
      <c r="D84" s="10"/>
      <c r="E84" s="10"/>
      <c r="F84" s="9"/>
      <c r="G84" s="9"/>
      <c r="H84" s="9"/>
      <c r="I84" s="10"/>
      <c r="J84" s="10"/>
    </row>
    <row r="85" customFormat="false" ht="15" hidden="false" customHeight="false" outlineLevel="0" collapsed="false">
      <c r="A85" s="9"/>
      <c r="B85" s="9"/>
      <c r="C85" s="9"/>
      <c r="D85" s="10"/>
      <c r="E85" s="10"/>
      <c r="F85" s="9"/>
      <c r="G85" s="9"/>
      <c r="H85" s="9"/>
      <c r="I85" s="10"/>
      <c r="J85" s="10"/>
    </row>
    <row r="86" customFormat="false" ht="15" hidden="false" customHeight="false" outlineLevel="0" collapsed="false">
      <c r="A86" s="9"/>
      <c r="B86" s="9"/>
      <c r="C86" s="9"/>
      <c r="D86" s="10"/>
      <c r="E86" s="10"/>
      <c r="F86" s="9"/>
      <c r="G86" s="9"/>
      <c r="H86" s="9"/>
      <c r="I86" s="10"/>
      <c r="J86" s="10"/>
    </row>
    <row r="87" customFormat="false" ht="15" hidden="false" customHeight="false" outlineLevel="0" collapsed="false">
      <c r="A87" s="9"/>
      <c r="B87" s="9"/>
      <c r="C87" s="9"/>
      <c r="D87" s="10"/>
      <c r="E87" s="10"/>
      <c r="F87" s="9"/>
      <c r="G87" s="9"/>
      <c r="H87" s="9"/>
      <c r="I87" s="10"/>
      <c r="J87" s="10"/>
    </row>
    <row r="88" customFormat="false" ht="15" hidden="false" customHeight="false" outlineLevel="0" collapsed="false">
      <c r="A88" s="9"/>
      <c r="B88" s="9"/>
      <c r="C88" s="9"/>
      <c r="D88" s="10"/>
      <c r="E88" s="10"/>
      <c r="F88" s="9"/>
      <c r="G88" s="9"/>
      <c r="H88" s="9"/>
      <c r="I88" s="10"/>
      <c r="J88" s="10"/>
    </row>
    <row r="89" customFormat="false" ht="15" hidden="false" customHeight="false" outlineLevel="0" collapsed="false">
      <c r="A89" s="9"/>
      <c r="B89" s="9"/>
      <c r="C89" s="9"/>
      <c r="D89" s="10"/>
      <c r="E89" s="10"/>
      <c r="F89" s="9"/>
      <c r="G89" s="9"/>
      <c r="H89" s="9"/>
      <c r="I89" s="10"/>
      <c r="J89" s="10"/>
    </row>
    <row r="90" customFormat="false" ht="15" hidden="false" customHeight="false" outlineLevel="0" collapsed="false">
      <c r="A90" s="9"/>
      <c r="B90" s="9"/>
      <c r="C90" s="9"/>
      <c r="D90" s="10"/>
      <c r="E90" s="10"/>
      <c r="F90" s="9"/>
      <c r="G90" s="9"/>
      <c r="H90" s="9"/>
      <c r="I90" s="10"/>
      <c r="J90" s="10"/>
    </row>
    <row r="91" customFormat="false" ht="15" hidden="false" customHeight="false" outlineLevel="0" collapsed="false">
      <c r="A91" s="9"/>
      <c r="B91" s="9"/>
      <c r="C91" s="9"/>
      <c r="D91" s="10"/>
      <c r="E91" s="10"/>
      <c r="F91" s="9"/>
      <c r="G91" s="9"/>
      <c r="H91" s="9"/>
      <c r="I91" s="10"/>
      <c r="J91" s="10"/>
    </row>
    <row r="92" customFormat="false" ht="15" hidden="false" customHeight="false" outlineLevel="0" collapsed="false">
      <c r="A92" s="9"/>
      <c r="B92" s="9"/>
      <c r="C92" s="9"/>
      <c r="D92" s="10"/>
      <c r="E92" s="10"/>
      <c r="F92" s="9"/>
      <c r="G92" s="9"/>
      <c r="H92" s="9"/>
      <c r="I92" s="10"/>
      <c r="J92" s="10"/>
    </row>
    <row r="93" customFormat="false" ht="15" hidden="false" customHeight="false" outlineLevel="0" collapsed="false">
      <c r="A93" s="9"/>
      <c r="B93" s="9"/>
      <c r="C93" s="9"/>
      <c r="D93" s="10"/>
      <c r="E93" s="10"/>
      <c r="F93" s="9"/>
      <c r="G93" s="9"/>
      <c r="H93" s="9"/>
      <c r="I93" s="10"/>
      <c r="J93" s="10"/>
    </row>
    <row r="94" customFormat="false" ht="15" hidden="false" customHeight="false" outlineLevel="0" collapsed="false">
      <c r="A94" s="9"/>
      <c r="B94" s="9"/>
      <c r="C94" s="9"/>
      <c r="D94" s="10"/>
      <c r="E94" s="10"/>
      <c r="F94" s="9"/>
      <c r="G94" s="9"/>
      <c r="H94" s="9"/>
      <c r="I94" s="10"/>
      <c r="J94" s="10"/>
    </row>
    <row r="95" customFormat="false" ht="15" hidden="false" customHeight="false" outlineLevel="0" collapsed="false">
      <c r="A95" s="9"/>
      <c r="B95" s="9"/>
      <c r="C95" s="9"/>
      <c r="D95" s="10"/>
      <c r="E95" s="10"/>
      <c r="F95" s="9"/>
      <c r="G95" s="9"/>
      <c r="H95" s="9"/>
      <c r="I95" s="10"/>
      <c r="J95" s="10"/>
    </row>
    <row r="96" customFormat="false" ht="15" hidden="false" customHeight="false" outlineLevel="0" collapsed="false">
      <c r="A96" s="9"/>
      <c r="B96" s="9"/>
      <c r="C96" s="9"/>
      <c r="D96" s="10"/>
      <c r="E96" s="10"/>
      <c r="F96" s="9"/>
      <c r="G96" s="9"/>
      <c r="H96" s="9"/>
      <c r="I96" s="10"/>
      <c r="J96" s="10"/>
    </row>
    <row r="97" customFormat="false" ht="15" hidden="false" customHeight="false" outlineLevel="0" collapsed="false">
      <c r="A97" s="9"/>
      <c r="B97" s="9"/>
      <c r="C97" s="9"/>
      <c r="D97" s="10"/>
      <c r="E97" s="10"/>
      <c r="F97" s="9"/>
      <c r="G97" s="9"/>
      <c r="H97" s="9"/>
      <c r="I97" s="10"/>
      <c r="J97" s="10"/>
    </row>
    <row r="98" customFormat="false" ht="15" hidden="false" customHeight="false" outlineLevel="0" collapsed="false">
      <c r="A98" s="9"/>
      <c r="B98" s="9"/>
      <c r="C98" s="9"/>
      <c r="D98" s="10"/>
      <c r="E98" s="10"/>
      <c r="F98" s="9"/>
      <c r="G98" s="9"/>
      <c r="H98" s="9"/>
      <c r="I98" s="10"/>
      <c r="J98" s="10"/>
    </row>
    <row r="99" customFormat="false" ht="15" hidden="false" customHeight="false" outlineLevel="0" collapsed="false">
      <c r="A99" s="9"/>
      <c r="B99" s="9"/>
      <c r="C99" s="9"/>
      <c r="D99" s="10"/>
      <c r="E99" s="10"/>
      <c r="F99" s="9"/>
      <c r="G99" s="9"/>
      <c r="H99" s="9"/>
      <c r="I99" s="10"/>
      <c r="J99" s="10"/>
    </row>
    <row r="100" customFormat="false" ht="15" hidden="false" customHeight="false" outlineLevel="0" collapsed="false">
      <c r="A100" s="9"/>
      <c r="B100" s="9"/>
      <c r="C100" s="9"/>
      <c r="D100" s="10"/>
      <c r="E100" s="10"/>
      <c r="F100" s="9"/>
      <c r="G100" s="9"/>
      <c r="H100" s="9"/>
      <c r="I100" s="10"/>
      <c r="J100" s="10"/>
    </row>
    <row r="101" customFormat="false" ht="15" hidden="false" customHeight="false" outlineLevel="0" collapsed="false">
      <c r="A101" s="9"/>
      <c r="B101" s="9"/>
      <c r="C101" s="9"/>
      <c r="D101" s="10"/>
      <c r="E101" s="10"/>
      <c r="F101" s="9"/>
      <c r="G101" s="9"/>
      <c r="H101" s="9"/>
      <c r="I101" s="10"/>
      <c r="J101" s="10"/>
    </row>
    <row r="102" customFormat="false" ht="15" hidden="false" customHeight="false" outlineLevel="0" collapsed="false">
      <c r="A102" s="9"/>
      <c r="B102" s="9"/>
      <c r="C102" s="9"/>
      <c r="D102" s="10"/>
      <c r="E102" s="10"/>
      <c r="F102" s="9"/>
      <c r="G102" s="9"/>
      <c r="H102" s="9"/>
      <c r="I102" s="10"/>
      <c r="J102" s="10"/>
    </row>
    <row r="103" customFormat="false" ht="15" hidden="false" customHeight="false" outlineLevel="0" collapsed="false">
      <c r="A103" s="9"/>
      <c r="B103" s="9"/>
      <c r="C103" s="9"/>
      <c r="D103" s="10"/>
      <c r="E103" s="10"/>
      <c r="F103" s="9"/>
      <c r="G103" s="9"/>
      <c r="H103" s="9"/>
      <c r="I103" s="10"/>
      <c r="J103" s="10"/>
    </row>
    <row r="104" customFormat="false" ht="15" hidden="false" customHeight="false" outlineLevel="0" collapsed="false">
      <c r="A104" s="9"/>
      <c r="B104" s="9"/>
      <c r="C104" s="9"/>
      <c r="D104" s="10"/>
      <c r="E104" s="10"/>
      <c r="F104" s="9"/>
      <c r="G104" s="9"/>
      <c r="H104" s="9"/>
      <c r="I104" s="10"/>
      <c r="J104" s="10"/>
    </row>
    <row r="105" customFormat="false" ht="15" hidden="false" customHeight="false" outlineLevel="0" collapsed="false">
      <c r="A105" s="9"/>
      <c r="B105" s="9"/>
      <c r="C105" s="9"/>
      <c r="D105" s="10"/>
      <c r="E105" s="10"/>
      <c r="F105" s="9"/>
      <c r="G105" s="9"/>
      <c r="H105" s="9"/>
      <c r="I105" s="10"/>
      <c r="J105" s="10"/>
    </row>
    <row r="106" customFormat="false" ht="15" hidden="false" customHeight="false" outlineLevel="0" collapsed="false">
      <c r="A106" s="9"/>
      <c r="B106" s="9"/>
      <c r="C106" s="9"/>
      <c r="D106" s="10"/>
      <c r="E106" s="10"/>
      <c r="F106" s="9"/>
      <c r="G106" s="9"/>
      <c r="H106" s="9"/>
      <c r="I106" s="10"/>
      <c r="J106" s="10"/>
    </row>
    <row r="107" customFormat="false" ht="15" hidden="false" customHeight="false" outlineLevel="0" collapsed="false">
      <c r="A107" s="9"/>
      <c r="B107" s="9"/>
      <c r="C107" s="9"/>
      <c r="D107" s="10"/>
      <c r="E107" s="10"/>
      <c r="F107" s="9"/>
      <c r="G107" s="9"/>
      <c r="H107" s="9"/>
      <c r="I107" s="10"/>
      <c r="J107" s="10"/>
    </row>
    <row r="108" customFormat="false" ht="15" hidden="false" customHeight="false" outlineLevel="0" collapsed="false">
      <c r="A108" s="9"/>
      <c r="B108" s="9"/>
      <c r="C108" s="9"/>
      <c r="D108" s="10"/>
      <c r="E108" s="10"/>
      <c r="F108" s="9"/>
      <c r="G108" s="9"/>
      <c r="H108" s="9"/>
      <c r="I108" s="10"/>
      <c r="J108" s="10"/>
    </row>
    <row r="109" customFormat="false" ht="15" hidden="false" customHeight="false" outlineLevel="0" collapsed="false">
      <c r="A109" s="9"/>
      <c r="B109" s="9"/>
      <c r="C109" s="9"/>
      <c r="D109" s="10"/>
      <c r="E109" s="10"/>
      <c r="F109" s="9"/>
      <c r="G109" s="9"/>
      <c r="H109" s="9"/>
      <c r="I109" s="10"/>
      <c r="J109" s="10"/>
    </row>
    <row r="110" customFormat="false" ht="15" hidden="false" customHeight="false" outlineLevel="0" collapsed="false">
      <c r="A110" s="9"/>
      <c r="B110" s="9"/>
      <c r="C110" s="9"/>
      <c r="D110" s="10"/>
      <c r="E110" s="10"/>
      <c r="F110" s="9"/>
      <c r="G110" s="9"/>
      <c r="H110" s="9"/>
      <c r="I110" s="10"/>
      <c r="J110" s="10"/>
    </row>
    <row r="111" customFormat="false" ht="15" hidden="false" customHeight="false" outlineLevel="0" collapsed="false">
      <c r="A111" s="9"/>
      <c r="B111" s="9"/>
      <c r="C111" s="9"/>
      <c r="D111" s="10"/>
      <c r="E111" s="10"/>
      <c r="F111" s="9"/>
      <c r="G111" s="9"/>
      <c r="H111" s="9"/>
      <c r="I111" s="10"/>
      <c r="J111" s="10"/>
    </row>
    <row r="112" customFormat="false" ht="15" hidden="false" customHeight="false" outlineLevel="0" collapsed="false">
      <c r="A112" s="9"/>
      <c r="B112" s="9"/>
      <c r="C112" s="9"/>
      <c r="D112" s="10"/>
      <c r="E112" s="10"/>
      <c r="F112" s="9"/>
      <c r="G112" s="9"/>
      <c r="H112" s="9"/>
      <c r="I112" s="10"/>
      <c r="J112" s="10"/>
    </row>
    <row r="113" customFormat="false" ht="15" hidden="false" customHeight="false" outlineLevel="0" collapsed="false">
      <c r="A113" s="9"/>
      <c r="B113" s="9"/>
      <c r="C113" s="9"/>
      <c r="D113" s="10"/>
      <c r="E113" s="10"/>
      <c r="F113" s="9"/>
      <c r="G113" s="9"/>
      <c r="H113" s="9"/>
      <c r="I113" s="10"/>
      <c r="J113" s="10"/>
    </row>
    <row r="114" customFormat="false" ht="15" hidden="false" customHeight="false" outlineLevel="0" collapsed="false">
      <c r="A114" s="9"/>
      <c r="B114" s="9"/>
      <c r="C114" s="9"/>
      <c r="D114" s="10"/>
      <c r="E114" s="10"/>
      <c r="F114" s="9"/>
      <c r="G114" s="9"/>
      <c r="H114" s="9"/>
      <c r="I114" s="10"/>
      <c r="J114" s="10"/>
    </row>
    <row r="115" customFormat="false" ht="15" hidden="false" customHeight="false" outlineLevel="0" collapsed="false">
      <c r="A115" s="9"/>
      <c r="B115" s="9"/>
      <c r="C115" s="9"/>
      <c r="D115" s="10"/>
      <c r="E115" s="10"/>
      <c r="F115" s="9"/>
      <c r="G115" s="9"/>
      <c r="H115" s="9"/>
      <c r="I115" s="10"/>
      <c r="J115" s="10"/>
    </row>
    <row r="116" customFormat="false" ht="15" hidden="false" customHeight="false" outlineLevel="0" collapsed="false">
      <c r="A116" s="9"/>
      <c r="B116" s="9"/>
      <c r="C116" s="9"/>
      <c r="D116" s="10"/>
      <c r="E116" s="10"/>
      <c r="F116" s="9"/>
      <c r="G116" s="9"/>
      <c r="H116" s="9"/>
      <c r="I116" s="10"/>
      <c r="J116" s="10"/>
    </row>
    <row r="117" customFormat="false" ht="15" hidden="false" customHeight="false" outlineLevel="0" collapsed="false">
      <c r="A117" s="9"/>
      <c r="B117" s="9"/>
      <c r="C117" s="9"/>
      <c r="D117" s="10"/>
      <c r="E117" s="10"/>
      <c r="F117" s="9"/>
      <c r="G117" s="9"/>
      <c r="H117" s="9"/>
      <c r="I117" s="10"/>
      <c r="J117" s="10"/>
    </row>
    <row r="118" customFormat="false" ht="15" hidden="false" customHeight="false" outlineLevel="0" collapsed="false">
      <c r="A118" s="9"/>
      <c r="B118" s="9"/>
      <c r="C118" s="9"/>
      <c r="D118" s="10"/>
      <c r="E118" s="10"/>
      <c r="F118" s="9"/>
      <c r="G118" s="9"/>
      <c r="H118" s="9"/>
      <c r="I118" s="10"/>
      <c r="J118" s="10"/>
    </row>
    <row r="119" customFormat="false" ht="15" hidden="false" customHeight="false" outlineLevel="0" collapsed="false">
      <c r="A119" s="9"/>
      <c r="B119" s="9"/>
      <c r="C119" s="9"/>
      <c r="D119" s="10"/>
      <c r="E119" s="10"/>
      <c r="F119" s="9"/>
      <c r="G119" s="9"/>
      <c r="H119" s="9"/>
      <c r="I119" s="10"/>
      <c r="J119" s="10"/>
    </row>
    <row r="120" customFormat="false" ht="15" hidden="false" customHeight="false" outlineLevel="0" collapsed="false">
      <c r="A120" s="9"/>
      <c r="B120" s="9"/>
      <c r="C120" s="9"/>
      <c r="D120" s="10"/>
      <c r="E120" s="10"/>
      <c r="F120" s="9"/>
      <c r="G120" s="9"/>
      <c r="H120" s="9"/>
      <c r="I120" s="10"/>
      <c r="J120" s="10"/>
    </row>
    <row r="121" customFormat="false" ht="15" hidden="false" customHeight="false" outlineLevel="0" collapsed="false">
      <c r="A121" s="9"/>
      <c r="B121" s="9"/>
      <c r="C121" s="9"/>
      <c r="D121" s="10"/>
      <c r="E121" s="10"/>
      <c r="F121" s="9"/>
      <c r="G121" s="9"/>
      <c r="H121" s="9"/>
      <c r="I121" s="10"/>
      <c r="J121" s="10"/>
    </row>
    <row r="122" customFormat="false" ht="15" hidden="false" customHeight="false" outlineLevel="0" collapsed="false">
      <c r="A122" s="9"/>
      <c r="B122" s="9"/>
      <c r="C122" s="9"/>
      <c r="D122" s="10"/>
      <c r="E122" s="10"/>
      <c r="F122" s="9"/>
      <c r="G122" s="9"/>
      <c r="H122" s="9"/>
      <c r="I122" s="10"/>
      <c r="J122" s="10"/>
    </row>
    <row r="123" customFormat="false" ht="15" hidden="false" customHeight="false" outlineLevel="0" collapsed="false">
      <c r="A123" s="9"/>
      <c r="B123" s="9"/>
      <c r="C123" s="9"/>
      <c r="D123" s="10"/>
      <c r="E123" s="10"/>
      <c r="F123" s="9"/>
      <c r="G123" s="9"/>
      <c r="H123" s="9"/>
      <c r="I123" s="10"/>
      <c r="J123" s="10"/>
    </row>
    <row r="124" customFormat="false" ht="15" hidden="false" customHeight="false" outlineLevel="0" collapsed="false">
      <c r="A124" s="9"/>
      <c r="B124" s="9"/>
      <c r="C124" s="9"/>
      <c r="D124" s="10"/>
      <c r="E124" s="10"/>
      <c r="F124" s="9"/>
      <c r="G124" s="9"/>
      <c r="H124" s="9"/>
      <c r="I124" s="10"/>
      <c r="J124" s="10"/>
    </row>
    <row r="125" customFormat="false" ht="15" hidden="false" customHeight="false" outlineLevel="0" collapsed="false">
      <c r="A125" s="9"/>
      <c r="B125" s="9"/>
      <c r="C125" s="9"/>
      <c r="D125" s="10"/>
      <c r="E125" s="10"/>
      <c r="F125" s="9"/>
      <c r="G125" s="9"/>
      <c r="H125" s="9"/>
      <c r="I125" s="10"/>
      <c r="J125" s="10"/>
    </row>
    <row r="126" customFormat="false" ht="15" hidden="false" customHeight="false" outlineLevel="0" collapsed="false">
      <c r="A126" s="9"/>
      <c r="B126" s="9"/>
      <c r="C126" s="9"/>
      <c r="D126" s="10"/>
      <c r="E126" s="10"/>
      <c r="F126" s="9"/>
      <c r="G126" s="9"/>
      <c r="H126" s="9"/>
      <c r="I126" s="10"/>
      <c r="J126" s="10"/>
    </row>
    <row r="127" customFormat="false" ht="15" hidden="false" customHeight="false" outlineLevel="0" collapsed="false">
      <c r="A127" s="9"/>
      <c r="B127" s="9"/>
      <c r="C127" s="9"/>
      <c r="D127" s="10"/>
      <c r="E127" s="10"/>
      <c r="F127" s="9"/>
      <c r="G127" s="9"/>
      <c r="H127" s="9"/>
      <c r="I127" s="10"/>
      <c r="J127" s="10"/>
    </row>
    <row r="128" customFormat="false" ht="15" hidden="false" customHeight="false" outlineLevel="0" collapsed="false">
      <c r="A128" s="9"/>
      <c r="B128" s="9"/>
      <c r="C128" s="9"/>
      <c r="D128" s="10"/>
      <c r="E128" s="10"/>
      <c r="F128" s="9"/>
      <c r="G128" s="9"/>
      <c r="H128" s="9"/>
      <c r="I128" s="10"/>
      <c r="J128" s="10"/>
    </row>
    <row r="129" customFormat="false" ht="15" hidden="false" customHeight="false" outlineLevel="0" collapsed="false">
      <c r="A129" s="9"/>
      <c r="B129" s="9"/>
      <c r="C129" s="9"/>
      <c r="D129" s="10"/>
      <c r="E129" s="10"/>
      <c r="F129" s="9"/>
      <c r="G129" s="9"/>
      <c r="H129" s="9"/>
      <c r="I129" s="10"/>
      <c r="J129" s="10"/>
    </row>
    <row r="130" customFormat="false" ht="15" hidden="false" customHeight="false" outlineLevel="0" collapsed="false">
      <c r="A130" s="9"/>
      <c r="B130" s="9"/>
      <c r="C130" s="9"/>
      <c r="D130" s="10"/>
      <c r="E130" s="10"/>
      <c r="F130" s="9"/>
      <c r="G130" s="9"/>
      <c r="H130" s="9"/>
      <c r="I130" s="10"/>
      <c r="J130" s="10"/>
    </row>
    <row r="131" customFormat="false" ht="15" hidden="false" customHeight="false" outlineLevel="0" collapsed="false">
      <c r="A131" s="9"/>
      <c r="B131" s="9"/>
      <c r="C131" s="9"/>
      <c r="D131" s="10"/>
      <c r="E131" s="10"/>
      <c r="F131" s="9"/>
      <c r="G131" s="9"/>
      <c r="H131" s="9"/>
      <c r="I131" s="10"/>
      <c r="J131" s="10"/>
    </row>
    <row r="132" customFormat="false" ht="15" hidden="false" customHeight="false" outlineLevel="0" collapsed="false">
      <c r="A132" s="9"/>
      <c r="B132" s="9"/>
      <c r="C132" s="9"/>
      <c r="D132" s="10"/>
      <c r="E132" s="10"/>
      <c r="F132" s="9"/>
      <c r="G132" s="9"/>
      <c r="H132" s="9"/>
      <c r="I132" s="10"/>
      <c r="J132" s="10"/>
    </row>
    <row r="133" customFormat="false" ht="15" hidden="false" customHeight="false" outlineLevel="0" collapsed="false">
      <c r="A133" s="9"/>
      <c r="B133" s="9"/>
      <c r="C133" s="9"/>
      <c r="D133" s="10"/>
      <c r="E133" s="10"/>
      <c r="F133" s="9"/>
      <c r="G133" s="9"/>
      <c r="H133" s="9"/>
      <c r="I133" s="10"/>
      <c r="J133" s="10"/>
    </row>
    <row r="134" customFormat="false" ht="15" hidden="false" customHeight="false" outlineLevel="0" collapsed="false">
      <c r="A134" s="9"/>
      <c r="B134" s="9"/>
      <c r="C134" s="9"/>
      <c r="D134" s="10"/>
      <c r="E134" s="10"/>
      <c r="F134" s="9"/>
      <c r="G134" s="9"/>
      <c r="H134" s="9"/>
      <c r="I134" s="10"/>
      <c r="J134" s="10"/>
    </row>
    <row r="135" customFormat="false" ht="15" hidden="false" customHeight="false" outlineLevel="0" collapsed="false">
      <c r="A135" s="9"/>
      <c r="B135" s="9"/>
      <c r="C135" s="9"/>
      <c r="D135" s="10"/>
      <c r="E135" s="10"/>
      <c r="F135" s="9"/>
      <c r="G135" s="9"/>
      <c r="H135" s="9"/>
      <c r="I135" s="10"/>
      <c r="J135" s="10"/>
    </row>
    <row r="136" customFormat="false" ht="15" hidden="false" customHeight="false" outlineLevel="0" collapsed="false">
      <c r="A136" s="9"/>
      <c r="B136" s="9"/>
      <c r="C136" s="9"/>
      <c r="D136" s="10"/>
      <c r="E136" s="10"/>
      <c r="F136" s="9"/>
      <c r="G136" s="9"/>
      <c r="H136" s="9"/>
      <c r="I136" s="10"/>
      <c r="J136" s="10"/>
    </row>
    <row r="137" customFormat="false" ht="15" hidden="false" customHeight="false" outlineLevel="0" collapsed="false">
      <c r="A137" s="9"/>
      <c r="B137" s="9"/>
      <c r="C137" s="9"/>
      <c r="D137" s="10"/>
      <c r="E137" s="10"/>
      <c r="F137" s="9"/>
      <c r="G137" s="9"/>
      <c r="H137" s="9"/>
      <c r="I137" s="10"/>
      <c r="J137" s="10"/>
    </row>
    <row r="138" customFormat="false" ht="15" hidden="false" customHeight="false" outlineLevel="0" collapsed="false">
      <c r="A138" s="9"/>
      <c r="B138" s="9"/>
      <c r="C138" s="9"/>
      <c r="D138" s="10"/>
      <c r="E138" s="10"/>
      <c r="F138" s="9"/>
      <c r="G138" s="9"/>
      <c r="H138" s="9"/>
      <c r="I138" s="10"/>
      <c r="J138" s="10"/>
    </row>
    <row r="139" customFormat="false" ht="15" hidden="false" customHeight="false" outlineLevel="0" collapsed="false">
      <c r="A139" s="9"/>
      <c r="B139" s="9"/>
      <c r="C139" s="9"/>
      <c r="D139" s="10"/>
      <c r="E139" s="10"/>
      <c r="F139" s="9"/>
      <c r="G139" s="9"/>
      <c r="H139" s="9"/>
      <c r="I139" s="10"/>
      <c r="J139" s="10"/>
    </row>
    <row r="140" customFormat="false" ht="15" hidden="false" customHeight="false" outlineLevel="0" collapsed="false">
      <c r="A140" s="9"/>
      <c r="B140" s="9"/>
      <c r="C140" s="9"/>
      <c r="D140" s="10"/>
      <c r="E140" s="10"/>
      <c r="F140" s="9"/>
      <c r="G140" s="9"/>
      <c r="H140" s="9"/>
      <c r="I140" s="10"/>
      <c r="J140" s="10"/>
    </row>
    <row r="141" customFormat="false" ht="15" hidden="false" customHeight="false" outlineLevel="0" collapsed="false">
      <c r="A141" s="9"/>
      <c r="B141" s="9"/>
      <c r="C141" s="9"/>
      <c r="D141" s="10"/>
      <c r="E141" s="10"/>
      <c r="F141" s="9"/>
      <c r="G141" s="9"/>
      <c r="H141" s="9"/>
      <c r="I141" s="10"/>
      <c r="J141" s="10"/>
    </row>
    <row r="142" customFormat="false" ht="15" hidden="false" customHeight="false" outlineLevel="0" collapsed="false">
      <c r="A142" s="9"/>
      <c r="B142" s="9"/>
      <c r="C142" s="9"/>
      <c r="D142" s="10"/>
      <c r="E142" s="10"/>
      <c r="F142" s="9"/>
      <c r="G142" s="9"/>
      <c r="H142" s="9"/>
      <c r="I142" s="10"/>
      <c r="J142" s="10"/>
    </row>
    <row r="143" customFormat="false" ht="15" hidden="false" customHeight="false" outlineLevel="0" collapsed="false">
      <c r="A143" s="9"/>
      <c r="B143" s="9"/>
      <c r="C143" s="9"/>
      <c r="D143" s="10"/>
      <c r="E143" s="10"/>
      <c r="F143" s="9"/>
      <c r="G143" s="9"/>
      <c r="H143" s="9"/>
      <c r="I143" s="10"/>
      <c r="J143" s="10"/>
    </row>
    <row r="144" customFormat="false" ht="15" hidden="false" customHeight="false" outlineLevel="0" collapsed="false">
      <c r="A144" s="9"/>
      <c r="B144" s="9"/>
      <c r="C144" s="9"/>
      <c r="D144" s="10"/>
      <c r="E144" s="10"/>
      <c r="F144" s="9"/>
      <c r="G144" s="9"/>
      <c r="H144" s="9"/>
      <c r="I144" s="10"/>
      <c r="J144" s="10"/>
    </row>
    <row r="145" customFormat="false" ht="15" hidden="false" customHeight="false" outlineLevel="0" collapsed="false">
      <c r="A145" s="9"/>
      <c r="B145" s="9"/>
      <c r="C145" s="9"/>
      <c r="D145" s="10"/>
      <c r="E145" s="10"/>
      <c r="F145" s="9"/>
      <c r="G145" s="9"/>
      <c r="H145" s="9"/>
      <c r="I145" s="10"/>
      <c r="J145" s="10"/>
    </row>
    <row r="146" customFormat="false" ht="15" hidden="false" customHeight="false" outlineLevel="0" collapsed="false">
      <c r="A146" s="9"/>
      <c r="B146" s="9"/>
      <c r="C146" s="9"/>
      <c r="D146" s="10"/>
      <c r="E146" s="10"/>
      <c r="F146" s="9"/>
      <c r="G146" s="9"/>
      <c r="H146" s="9"/>
      <c r="I146" s="10"/>
      <c r="J146" s="10"/>
    </row>
    <row r="147" customFormat="false" ht="15" hidden="false" customHeight="false" outlineLevel="0" collapsed="false">
      <c r="A147" s="9"/>
      <c r="B147" s="9"/>
      <c r="C147" s="9"/>
      <c r="D147" s="10"/>
      <c r="E147" s="10"/>
      <c r="F147" s="9"/>
      <c r="G147" s="9"/>
      <c r="H147" s="9"/>
      <c r="I147" s="10"/>
      <c r="J147" s="10"/>
    </row>
    <row r="148" customFormat="false" ht="15" hidden="false" customHeight="false" outlineLevel="0" collapsed="false">
      <c r="A148" s="9"/>
      <c r="B148" s="9"/>
      <c r="C148" s="9"/>
      <c r="D148" s="10"/>
      <c r="E148" s="10"/>
      <c r="F148" s="9"/>
      <c r="G148" s="9"/>
      <c r="H148" s="9"/>
      <c r="I148" s="10"/>
      <c r="J148" s="10"/>
    </row>
    <row r="149" customFormat="false" ht="15" hidden="false" customHeight="false" outlineLevel="0" collapsed="false">
      <c r="A149" s="9"/>
      <c r="B149" s="9"/>
      <c r="C149" s="9"/>
      <c r="D149" s="10"/>
      <c r="E149" s="10"/>
      <c r="F149" s="9"/>
      <c r="G149" s="9"/>
      <c r="H149" s="9"/>
      <c r="I149" s="10"/>
      <c r="J149" s="10"/>
    </row>
    <row r="150" customFormat="false" ht="15" hidden="false" customHeight="false" outlineLevel="0" collapsed="false">
      <c r="A150" s="9"/>
      <c r="B150" s="9"/>
      <c r="C150" s="9"/>
      <c r="D150" s="10"/>
      <c r="E150" s="10"/>
      <c r="F150" s="9"/>
      <c r="G150" s="9"/>
      <c r="H150" s="9"/>
      <c r="I150" s="10"/>
      <c r="J150" s="10"/>
    </row>
    <row r="151" customFormat="false" ht="15" hidden="false" customHeight="false" outlineLevel="0" collapsed="false">
      <c r="A151" s="9"/>
      <c r="B151" s="9"/>
      <c r="C151" s="9"/>
      <c r="D151" s="10"/>
      <c r="E151" s="10"/>
      <c r="F151" s="9"/>
      <c r="G151" s="9"/>
      <c r="H151" s="9"/>
      <c r="I151" s="10"/>
      <c r="J151" s="10"/>
    </row>
    <row r="152" customFormat="false" ht="15" hidden="false" customHeight="false" outlineLevel="0" collapsed="false">
      <c r="A152" s="9"/>
      <c r="B152" s="9"/>
      <c r="C152" s="9"/>
      <c r="D152" s="10"/>
      <c r="E152" s="10"/>
      <c r="F152" s="9"/>
      <c r="G152" s="9"/>
      <c r="H152" s="9"/>
      <c r="I152" s="10"/>
      <c r="J152" s="10"/>
    </row>
    <row r="153" customFormat="false" ht="15" hidden="false" customHeight="false" outlineLevel="0" collapsed="false">
      <c r="A153" s="9"/>
      <c r="B153" s="9"/>
      <c r="C153" s="9"/>
      <c r="D153" s="10"/>
      <c r="E153" s="10"/>
      <c r="F153" s="9"/>
      <c r="G153" s="9"/>
      <c r="H153" s="9"/>
      <c r="I153" s="10"/>
      <c r="J153" s="10"/>
    </row>
    <row r="154" customFormat="false" ht="15" hidden="false" customHeight="false" outlineLevel="0" collapsed="false">
      <c r="A154" s="9"/>
      <c r="B154" s="9"/>
      <c r="C154" s="9"/>
      <c r="D154" s="10"/>
      <c r="E154" s="10"/>
      <c r="F154" s="9"/>
      <c r="G154" s="9"/>
      <c r="H154" s="9"/>
      <c r="I154" s="10"/>
      <c r="J154" s="10"/>
    </row>
    <row r="155" customFormat="false" ht="15" hidden="false" customHeight="false" outlineLevel="0" collapsed="false">
      <c r="A155" s="9"/>
      <c r="B155" s="9"/>
      <c r="C155" s="9"/>
      <c r="D155" s="10"/>
      <c r="E155" s="10"/>
      <c r="F155" s="9"/>
      <c r="G155" s="9"/>
      <c r="H155" s="9"/>
      <c r="I155" s="10"/>
      <c r="J155" s="10"/>
    </row>
    <row r="156" customFormat="false" ht="15" hidden="false" customHeight="false" outlineLevel="0" collapsed="false">
      <c r="A156" s="9"/>
      <c r="B156" s="9"/>
      <c r="C156" s="9"/>
      <c r="D156" s="10"/>
      <c r="E156" s="10"/>
      <c r="F156" s="9"/>
      <c r="G156" s="9"/>
      <c r="H156" s="9"/>
      <c r="I156" s="10"/>
      <c r="J156" s="10"/>
    </row>
    <row r="157" customFormat="false" ht="15" hidden="false" customHeight="false" outlineLevel="0" collapsed="false">
      <c r="A157" s="9"/>
      <c r="B157" s="9"/>
      <c r="C157" s="9"/>
      <c r="D157" s="10"/>
      <c r="E157" s="10"/>
      <c r="F157" s="9"/>
      <c r="G157" s="9"/>
      <c r="H157" s="9"/>
      <c r="I157" s="10"/>
      <c r="J157" s="10"/>
    </row>
    <row r="158" customFormat="false" ht="15" hidden="false" customHeight="false" outlineLevel="0" collapsed="false">
      <c r="A158" s="9"/>
      <c r="B158" s="9"/>
      <c r="C158" s="9"/>
      <c r="D158" s="10"/>
      <c r="E158" s="10"/>
      <c r="F158" s="9"/>
      <c r="G158" s="9"/>
      <c r="H158" s="9"/>
      <c r="I158" s="10"/>
      <c r="J158" s="10"/>
    </row>
    <row r="159" customFormat="false" ht="15" hidden="false" customHeight="false" outlineLevel="0" collapsed="false">
      <c r="A159" s="9"/>
      <c r="B159" s="9"/>
      <c r="C159" s="9"/>
      <c r="D159" s="10"/>
      <c r="E159" s="10"/>
      <c r="F159" s="9"/>
      <c r="G159" s="9"/>
      <c r="H159" s="9"/>
      <c r="I159" s="10"/>
      <c r="J159" s="10"/>
    </row>
    <row r="160" customFormat="false" ht="15" hidden="false" customHeight="false" outlineLevel="0" collapsed="false">
      <c r="A160" s="9"/>
      <c r="B160" s="9"/>
      <c r="C160" s="9"/>
      <c r="D160" s="10"/>
      <c r="E160" s="10"/>
      <c r="F160" s="9"/>
      <c r="G160" s="9"/>
      <c r="H160" s="9"/>
      <c r="I160" s="10"/>
      <c r="J160" s="10"/>
    </row>
    <row r="161" customFormat="false" ht="15" hidden="false" customHeight="false" outlineLevel="0" collapsed="false">
      <c r="A161" s="9"/>
      <c r="B161" s="9"/>
      <c r="C161" s="9"/>
      <c r="D161" s="10"/>
      <c r="E161" s="10"/>
      <c r="F161" s="9"/>
      <c r="G161" s="9"/>
      <c r="H161" s="9"/>
      <c r="I161" s="10"/>
      <c r="J161" s="10"/>
    </row>
    <row r="162" customFormat="false" ht="15" hidden="false" customHeight="false" outlineLevel="0" collapsed="false">
      <c r="A162" s="9"/>
      <c r="B162" s="9"/>
      <c r="C162" s="9"/>
      <c r="D162" s="10"/>
      <c r="E162" s="10"/>
      <c r="F162" s="9"/>
      <c r="G162" s="9"/>
      <c r="H162" s="9"/>
      <c r="I162" s="10"/>
      <c r="J162" s="10"/>
    </row>
    <row r="163" customFormat="false" ht="15" hidden="false" customHeight="false" outlineLevel="0" collapsed="false">
      <c r="A163" s="9"/>
      <c r="B163" s="9"/>
      <c r="C163" s="9"/>
      <c r="D163" s="10"/>
      <c r="E163" s="10"/>
      <c r="F163" s="9"/>
      <c r="G163" s="9"/>
      <c r="H163" s="9"/>
      <c r="I163" s="10"/>
      <c r="J163" s="10"/>
    </row>
    <row r="164" customFormat="false" ht="15" hidden="false" customHeight="false" outlineLevel="0" collapsed="false">
      <c r="A164" s="9"/>
      <c r="B164" s="9"/>
      <c r="C164" s="9"/>
      <c r="D164" s="10"/>
      <c r="E164" s="10"/>
      <c r="F164" s="9"/>
      <c r="G164" s="9"/>
      <c r="H164" s="9"/>
      <c r="I164" s="10"/>
      <c r="J164" s="10"/>
    </row>
    <row r="165" customFormat="false" ht="15" hidden="false" customHeight="false" outlineLevel="0" collapsed="false">
      <c r="A165" s="9"/>
      <c r="B165" s="9"/>
      <c r="C165" s="9"/>
      <c r="D165" s="10"/>
      <c r="E165" s="10"/>
      <c r="F165" s="9"/>
      <c r="G165" s="9"/>
      <c r="H165" s="9"/>
      <c r="I165" s="10"/>
      <c r="J165" s="10"/>
    </row>
    <row r="166" customFormat="false" ht="15" hidden="false" customHeight="false" outlineLevel="0" collapsed="false">
      <c r="A166" s="9"/>
      <c r="B166" s="9"/>
      <c r="C166" s="9"/>
      <c r="D166" s="10"/>
      <c r="E166" s="10"/>
      <c r="F166" s="9"/>
      <c r="G166" s="9"/>
      <c r="H166" s="9"/>
      <c r="I166" s="10"/>
      <c r="J166" s="10"/>
    </row>
    <row r="167" customFormat="false" ht="15" hidden="false" customHeight="false" outlineLevel="0" collapsed="false">
      <c r="A167" s="9"/>
      <c r="B167" s="9"/>
      <c r="C167" s="9"/>
      <c r="D167" s="10"/>
      <c r="E167" s="10"/>
      <c r="F167" s="9"/>
      <c r="G167" s="9"/>
      <c r="H167" s="9"/>
      <c r="I167" s="10"/>
      <c r="J167" s="10"/>
    </row>
    <row r="168" customFormat="false" ht="15" hidden="false" customHeight="false" outlineLevel="0" collapsed="false">
      <c r="A168" s="9"/>
      <c r="B168" s="9"/>
      <c r="C168" s="9"/>
      <c r="D168" s="10"/>
      <c r="E168" s="10"/>
      <c r="F168" s="9"/>
      <c r="G168" s="9"/>
      <c r="H168" s="9"/>
      <c r="I168" s="10"/>
      <c r="J168" s="10"/>
    </row>
    <row r="169" customFormat="false" ht="15" hidden="false" customHeight="false" outlineLevel="0" collapsed="false">
      <c r="A169" s="9"/>
      <c r="B169" s="9"/>
      <c r="C169" s="9"/>
      <c r="D169" s="10"/>
      <c r="E169" s="10"/>
      <c r="F169" s="9"/>
      <c r="G169" s="9"/>
      <c r="H169" s="9"/>
      <c r="I169" s="10"/>
      <c r="J169" s="10"/>
    </row>
    <row r="170" customFormat="false" ht="15" hidden="false" customHeight="false" outlineLevel="0" collapsed="false">
      <c r="A170" s="9"/>
      <c r="B170" s="9"/>
      <c r="C170" s="9"/>
      <c r="D170" s="10"/>
      <c r="E170" s="10"/>
      <c r="F170" s="9"/>
      <c r="G170" s="9"/>
      <c r="H170" s="9"/>
      <c r="I170" s="10"/>
      <c r="J170" s="10"/>
    </row>
    <row r="171" customFormat="false" ht="15" hidden="false" customHeight="false" outlineLevel="0" collapsed="false">
      <c r="A171" s="9"/>
      <c r="B171" s="9"/>
      <c r="C171" s="9"/>
      <c r="D171" s="10"/>
      <c r="E171" s="10"/>
      <c r="F171" s="9"/>
      <c r="G171" s="9"/>
      <c r="H171" s="9"/>
      <c r="I171" s="10"/>
      <c r="J171" s="10"/>
    </row>
    <row r="172" customFormat="false" ht="15" hidden="false" customHeight="false" outlineLevel="0" collapsed="false">
      <c r="A172" s="9"/>
      <c r="B172" s="9"/>
      <c r="C172" s="9"/>
      <c r="D172" s="10"/>
      <c r="E172" s="10"/>
      <c r="F172" s="9"/>
      <c r="G172" s="9"/>
      <c r="H172" s="9"/>
      <c r="I172" s="10"/>
      <c r="J172" s="10"/>
    </row>
    <row r="173" customFormat="false" ht="15" hidden="false" customHeight="false" outlineLevel="0" collapsed="false">
      <c r="A173" s="9"/>
      <c r="B173" s="9"/>
      <c r="C173" s="9"/>
      <c r="D173" s="10"/>
      <c r="E173" s="10"/>
      <c r="F173" s="9"/>
      <c r="G173" s="9"/>
      <c r="H173" s="9"/>
      <c r="I173" s="10"/>
      <c r="J173" s="10"/>
    </row>
    <row r="174" customFormat="false" ht="15" hidden="false" customHeight="false" outlineLevel="0" collapsed="false">
      <c r="A174" s="9"/>
      <c r="B174" s="9"/>
      <c r="C174" s="9"/>
      <c r="D174" s="10"/>
      <c r="E174" s="10"/>
      <c r="F174" s="9"/>
      <c r="G174" s="9"/>
      <c r="H174" s="9"/>
      <c r="I174" s="10"/>
      <c r="J174" s="10"/>
    </row>
    <row r="175" customFormat="false" ht="15" hidden="false" customHeight="false" outlineLevel="0" collapsed="false">
      <c r="A175" s="9"/>
      <c r="B175" s="9"/>
      <c r="C175" s="9"/>
      <c r="D175" s="10"/>
      <c r="E175" s="10"/>
      <c r="F175" s="9"/>
      <c r="G175" s="9"/>
      <c r="H175" s="9"/>
      <c r="I175" s="10"/>
      <c r="J175" s="10"/>
    </row>
    <row r="176" customFormat="false" ht="15" hidden="false" customHeight="false" outlineLevel="0" collapsed="false">
      <c r="A176" s="9"/>
      <c r="B176" s="9"/>
      <c r="C176" s="9"/>
      <c r="D176" s="10"/>
      <c r="E176" s="10"/>
      <c r="F176" s="9"/>
      <c r="G176" s="9"/>
      <c r="H176" s="9"/>
      <c r="I176" s="10"/>
      <c r="J176" s="10"/>
    </row>
    <row r="177" customFormat="false" ht="15" hidden="false" customHeight="false" outlineLevel="0" collapsed="false">
      <c r="A177" s="9"/>
      <c r="B177" s="9"/>
      <c r="C177" s="9"/>
      <c r="D177" s="10"/>
      <c r="E177" s="10"/>
      <c r="F177" s="9"/>
      <c r="G177" s="9"/>
      <c r="H177" s="9"/>
      <c r="I177" s="10"/>
      <c r="J177" s="10"/>
    </row>
    <row r="178" customFormat="false" ht="15" hidden="false" customHeight="false" outlineLevel="0" collapsed="false">
      <c r="A178" s="9"/>
      <c r="B178" s="9"/>
      <c r="C178" s="9"/>
      <c r="D178" s="10"/>
      <c r="E178" s="10"/>
      <c r="F178" s="9"/>
      <c r="G178" s="9"/>
      <c r="H178" s="9"/>
      <c r="I178" s="10"/>
      <c r="J178" s="10"/>
    </row>
    <row r="179" customFormat="false" ht="15" hidden="false" customHeight="false" outlineLevel="0" collapsed="false">
      <c r="A179" s="9"/>
      <c r="B179" s="9"/>
      <c r="C179" s="9"/>
      <c r="D179" s="10"/>
      <c r="E179" s="10"/>
      <c r="F179" s="9"/>
      <c r="G179" s="9"/>
      <c r="H179" s="9"/>
      <c r="I179" s="10"/>
      <c r="J179" s="10"/>
    </row>
    <row r="180" customFormat="false" ht="15" hidden="false" customHeight="false" outlineLevel="0" collapsed="false">
      <c r="A180" s="9"/>
      <c r="B180" s="9"/>
      <c r="C180" s="9"/>
      <c r="D180" s="10"/>
      <c r="E180" s="10"/>
      <c r="F180" s="9"/>
      <c r="G180" s="9"/>
      <c r="H180" s="9"/>
      <c r="I180" s="10"/>
      <c r="J180" s="10"/>
    </row>
    <row r="181" customFormat="false" ht="15" hidden="false" customHeight="false" outlineLevel="0" collapsed="false">
      <c r="A181" s="9"/>
      <c r="B181" s="9"/>
      <c r="C181" s="9"/>
      <c r="D181" s="10"/>
      <c r="E181" s="10"/>
      <c r="F181" s="9"/>
      <c r="G181" s="9"/>
      <c r="H181" s="9"/>
      <c r="I181" s="10"/>
      <c r="J181" s="10"/>
    </row>
    <row r="182" customFormat="false" ht="15" hidden="false" customHeight="false" outlineLevel="0" collapsed="false">
      <c r="A182" s="9"/>
      <c r="B182" s="9"/>
      <c r="C182" s="9"/>
      <c r="D182" s="10"/>
      <c r="E182" s="10"/>
      <c r="F182" s="9"/>
      <c r="G182" s="9"/>
      <c r="H182" s="9"/>
      <c r="I182" s="10"/>
      <c r="J182" s="10"/>
    </row>
    <row r="183" customFormat="false" ht="15" hidden="false" customHeight="false" outlineLevel="0" collapsed="false">
      <c r="A183" s="9"/>
      <c r="B183" s="9"/>
      <c r="C183" s="9"/>
      <c r="D183" s="10"/>
      <c r="E183" s="10"/>
      <c r="F183" s="9"/>
      <c r="G183" s="9"/>
      <c r="H183" s="9"/>
      <c r="I183" s="10"/>
      <c r="J183" s="10"/>
    </row>
    <row r="184" customFormat="false" ht="15" hidden="false" customHeight="false" outlineLevel="0" collapsed="false">
      <c r="A184" s="9"/>
      <c r="B184" s="9"/>
      <c r="C184" s="9"/>
      <c r="D184" s="10"/>
      <c r="E184" s="10"/>
      <c r="F184" s="9"/>
      <c r="G184" s="9"/>
      <c r="H184" s="9"/>
      <c r="I184" s="10"/>
      <c r="J184" s="10"/>
    </row>
    <row r="185" customFormat="false" ht="15" hidden="false" customHeight="false" outlineLevel="0" collapsed="false">
      <c r="A185" s="9"/>
      <c r="B185" s="9"/>
      <c r="C185" s="9"/>
      <c r="D185" s="10"/>
      <c r="E185" s="10"/>
      <c r="F185" s="9"/>
      <c r="G185" s="9"/>
      <c r="H185" s="9"/>
      <c r="I185" s="10"/>
      <c r="J185" s="10"/>
    </row>
    <row r="186" customFormat="false" ht="15" hidden="false" customHeight="false" outlineLevel="0" collapsed="false">
      <c r="A186" s="9"/>
      <c r="B186" s="9"/>
      <c r="C186" s="9"/>
      <c r="D186" s="10"/>
      <c r="E186" s="10"/>
      <c r="F186" s="9"/>
      <c r="G186" s="9"/>
      <c r="H186" s="9"/>
      <c r="I186" s="10"/>
      <c r="J186" s="10"/>
    </row>
    <row r="187" customFormat="false" ht="15" hidden="false" customHeight="false" outlineLevel="0" collapsed="false">
      <c r="A187" s="9"/>
      <c r="B187" s="9"/>
      <c r="C187" s="9"/>
      <c r="D187" s="10"/>
      <c r="E187" s="10"/>
      <c r="F187" s="9"/>
      <c r="G187" s="9"/>
      <c r="H187" s="9"/>
      <c r="I187" s="10"/>
      <c r="J187" s="10"/>
    </row>
    <row r="188" customFormat="false" ht="15" hidden="false" customHeight="false" outlineLevel="0" collapsed="false">
      <c r="A188" s="9"/>
      <c r="B188" s="9"/>
      <c r="C188" s="9"/>
      <c r="D188" s="10"/>
      <c r="E188" s="10"/>
      <c r="F188" s="9"/>
      <c r="G188" s="9"/>
      <c r="H188" s="9"/>
      <c r="I188" s="10"/>
      <c r="J188" s="10"/>
    </row>
    <row r="189" customFormat="false" ht="15" hidden="false" customHeight="false" outlineLevel="0" collapsed="false">
      <c r="A189" s="9"/>
      <c r="B189" s="9"/>
      <c r="C189" s="9"/>
      <c r="D189" s="10"/>
      <c r="E189" s="10"/>
      <c r="F189" s="9"/>
      <c r="G189" s="9"/>
      <c r="H189" s="9"/>
      <c r="I189" s="10"/>
      <c r="J189" s="10"/>
    </row>
    <row r="190" customFormat="false" ht="15" hidden="false" customHeight="false" outlineLevel="0" collapsed="false">
      <c r="A190" s="9"/>
      <c r="B190" s="9"/>
      <c r="C190" s="9"/>
      <c r="D190" s="10"/>
      <c r="E190" s="10"/>
      <c r="F190" s="9"/>
      <c r="G190" s="9"/>
      <c r="H190" s="9"/>
      <c r="I190" s="10"/>
      <c r="J190" s="10"/>
    </row>
    <row r="191" customFormat="false" ht="15" hidden="false" customHeight="false" outlineLevel="0" collapsed="false">
      <c r="A191" s="9"/>
      <c r="B191" s="9"/>
      <c r="C191" s="9"/>
      <c r="D191" s="10"/>
      <c r="E191" s="10"/>
      <c r="F191" s="9"/>
      <c r="G191" s="9"/>
      <c r="H191" s="9"/>
      <c r="I191" s="10"/>
      <c r="J191" s="10"/>
    </row>
    <row r="192" customFormat="false" ht="15" hidden="false" customHeight="false" outlineLevel="0" collapsed="false">
      <c r="A192" s="9"/>
      <c r="B192" s="9"/>
      <c r="C192" s="9"/>
      <c r="D192" s="10"/>
      <c r="E192" s="10"/>
      <c r="F192" s="9"/>
      <c r="G192" s="9"/>
      <c r="H192" s="9"/>
      <c r="I192" s="10"/>
      <c r="J192" s="10"/>
    </row>
    <row r="193" customFormat="false" ht="15" hidden="false" customHeight="false" outlineLevel="0" collapsed="false">
      <c r="A193" s="9"/>
      <c r="B193" s="9"/>
      <c r="C193" s="9"/>
      <c r="D193" s="10"/>
      <c r="E193" s="10"/>
      <c r="F193" s="9"/>
      <c r="G193" s="9"/>
      <c r="H193" s="9"/>
      <c r="I193" s="10"/>
      <c r="J193" s="10"/>
    </row>
    <row r="194" customFormat="false" ht="15" hidden="false" customHeight="false" outlineLevel="0" collapsed="false">
      <c r="A194" s="9"/>
      <c r="B194" s="9"/>
      <c r="C194" s="9"/>
      <c r="D194" s="10"/>
      <c r="E194" s="10"/>
      <c r="F194" s="9"/>
      <c r="G194" s="9"/>
      <c r="H194" s="9"/>
      <c r="I194" s="10"/>
      <c r="J194" s="10"/>
    </row>
    <row r="195" customFormat="false" ht="15" hidden="false" customHeight="false" outlineLevel="0" collapsed="false">
      <c r="A195" s="9"/>
      <c r="B195" s="9"/>
      <c r="C195" s="9"/>
      <c r="D195" s="10"/>
      <c r="E195" s="10"/>
      <c r="F195" s="9"/>
      <c r="G195" s="9"/>
      <c r="H195" s="9"/>
      <c r="I195" s="10"/>
      <c r="J195" s="10"/>
    </row>
    <row r="196" customFormat="false" ht="15" hidden="false" customHeight="false" outlineLevel="0" collapsed="false">
      <c r="A196" s="9"/>
      <c r="B196" s="9"/>
      <c r="C196" s="9"/>
      <c r="D196" s="10"/>
      <c r="E196" s="10"/>
      <c r="F196" s="9"/>
      <c r="G196" s="9"/>
      <c r="H196" s="9"/>
      <c r="I196" s="10"/>
      <c r="J196" s="10"/>
    </row>
    <row r="197" customFormat="false" ht="15" hidden="false" customHeight="false" outlineLevel="0" collapsed="false">
      <c r="A197" s="9"/>
      <c r="B197" s="9"/>
      <c r="C197" s="9"/>
      <c r="D197" s="10"/>
      <c r="E197" s="10"/>
      <c r="F197" s="9"/>
      <c r="G197" s="9"/>
      <c r="H197" s="9"/>
      <c r="I197" s="10"/>
      <c r="J197" s="10"/>
    </row>
    <row r="198" customFormat="false" ht="15" hidden="false" customHeight="false" outlineLevel="0" collapsed="false">
      <c r="A198" s="9"/>
      <c r="B198" s="9"/>
      <c r="C198" s="9"/>
      <c r="D198" s="10"/>
      <c r="E198" s="10"/>
      <c r="F198" s="9"/>
      <c r="G198" s="9"/>
      <c r="H198" s="9"/>
      <c r="I198" s="10"/>
      <c r="J198" s="10"/>
    </row>
    <row r="199" customFormat="false" ht="15" hidden="false" customHeight="false" outlineLevel="0" collapsed="false">
      <c r="A199" s="9"/>
      <c r="B199" s="9"/>
      <c r="C199" s="9"/>
      <c r="D199" s="10"/>
      <c r="E199" s="10"/>
      <c r="F199" s="9"/>
      <c r="G199" s="9"/>
      <c r="H199" s="9"/>
      <c r="I199" s="10"/>
      <c r="J199" s="10"/>
    </row>
    <row r="200" customFormat="false" ht="15" hidden="false" customHeight="false" outlineLevel="0" collapsed="false">
      <c r="A200" s="9"/>
      <c r="B200" s="9"/>
      <c r="C200" s="9"/>
      <c r="D200" s="10"/>
      <c r="E200" s="10"/>
      <c r="F200" s="9"/>
      <c r="G200" s="9"/>
      <c r="H200" s="9"/>
      <c r="I200" s="10"/>
      <c r="J200" s="10"/>
    </row>
    <row r="201" customFormat="false" ht="15" hidden="false" customHeight="false" outlineLevel="0" collapsed="false">
      <c r="A201" s="9"/>
      <c r="B201" s="9"/>
      <c r="C201" s="9"/>
      <c r="D201" s="10"/>
      <c r="E201" s="10"/>
      <c r="F201" s="9"/>
      <c r="G201" s="9"/>
      <c r="H201" s="9"/>
      <c r="I201" s="10"/>
      <c r="J201" s="10"/>
    </row>
    <row r="202" customFormat="false" ht="15" hidden="false" customHeight="false" outlineLevel="0" collapsed="false">
      <c r="A202" s="9"/>
      <c r="B202" s="9"/>
      <c r="C202" s="9"/>
      <c r="D202" s="10"/>
      <c r="E202" s="10"/>
      <c r="F202" s="9"/>
      <c r="G202" s="9"/>
      <c r="H202" s="9"/>
      <c r="I202" s="10"/>
      <c r="J202" s="10"/>
    </row>
    <row r="203" customFormat="false" ht="15" hidden="false" customHeight="false" outlineLevel="0" collapsed="false">
      <c r="A203" s="9"/>
      <c r="B203" s="9"/>
      <c r="C203" s="9"/>
      <c r="D203" s="10"/>
      <c r="E203" s="10"/>
      <c r="F203" s="9"/>
      <c r="G203" s="9"/>
      <c r="H203" s="9"/>
      <c r="I203" s="10"/>
      <c r="J203" s="10"/>
    </row>
    <row r="204" customFormat="false" ht="15" hidden="false" customHeight="false" outlineLevel="0" collapsed="false">
      <c r="A204" s="9"/>
      <c r="B204" s="9"/>
      <c r="C204" s="9"/>
      <c r="D204" s="10"/>
      <c r="E204" s="10"/>
      <c r="F204" s="9"/>
      <c r="G204" s="9"/>
      <c r="H204" s="9"/>
      <c r="I204" s="10"/>
      <c r="J204" s="10"/>
    </row>
    <row r="205" customFormat="false" ht="15" hidden="false" customHeight="false" outlineLevel="0" collapsed="false">
      <c r="A205" s="9"/>
      <c r="B205" s="9"/>
      <c r="C205" s="9"/>
      <c r="D205" s="10"/>
      <c r="E205" s="10"/>
      <c r="F205" s="9"/>
      <c r="G205" s="9"/>
      <c r="H205" s="9"/>
      <c r="I205" s="10"/>
      <c r="J205" s="10"/>
    </row>
    <row r="206" customFormat="false" ht="15" hidden="false" customHeight="false" outlineLevel="0" collapsed="false">
      <c r="A206" s="9"/>
      <c r="B206" s="9"/>
      <c r="C206" s="9"/>
      <c r="D206" s="10"/>
      <c r="E206" s="10"/>
      <c r="F206" s="9"/>
      <c r="G206" s="9"/>
      <c r="H206" s="9"/>
      <c r="I206" s="10"/>
      <c r="J206" s="10"/>
    </row>
    <row r="207" customFormat="false" ht="15" hidden="false" customHeight="false" outlineLevel="0" collapsed="false">
      <c r="A207" s="9"/>
      <c r="B207" s="9"/>
      <c r="C207" s="9"/>
      <c r="D207" s="10"/>
      <c r="E207" s="10"/>
      <c r="F207" s="9"/>
      <c r="G207" s="9"/>
      <c r="H207" s="9"/>
      <c r="I207" s="10"/>
      <c r="J207" s="10"/>
    </row>
    <row r="208" customFormat="false" ht="15" hidden="false" customHeight="false" outlineLevel="0" collapsed="false">
      <c r="A208" s="9"/>
      <c r="B208" s="9"/>
      <c r="C208" s="9"/>
      <c r="D208" s="10"/>
      <c r="E208" s="10"/>
      <c r="F208" s="9"/>
      <c r="G208" s="9"/>
      <c r="H208" s="9"/>
      <c r="I208" s="10"/>
      <c r="J208" s="10"/>
    </row>
    <row r="209" customFormat="false" ht="15" hidden="false" customHeight="false" outlineLevel="0" collapsed="false">
      <c r="A209" s="9"/>
      <c r="B209" s="9"/>
      <c r="C209" s="9"/>
      <c r="D209" s="10"/>
      <c r="E209" s="10"/>
      <c r="F209" s="9"/>
      <c r="G209" s="9"/>
      <c r="H209" s="9"/>
      <c r="I209" s="10"/>
      <c r="J209" s="10"/>
    </row>
    <row r="210" customFormat="false" ht="15" hidden="false" customHeight="false" outlineLevel="0" collapsed="false">
      <c r="A210" s="9"/>
      <c r="B210" s="9"/>
      <c r="C210" s="9"/>
      <c r="D210" s="10"/>
      <c r="E210" s="10"/>
      <c r="F210" s="9"/>
      <c r="G210" s="9"/>
      <c r="H210" s="9"/>
      <c r="I210" s="10"/>
      <c r="J210" s="10"/>
    </row>
    <row r="211" customFormat="false" ht="15" hidden="false" customHeight="false" outlineLevel="0" collapsed="false">
      <c r="A211" s="9"/>
      <c r="B211" s="9"/>
      <c r="C211" s="9"/>
      <c r="D211" s="10"/>
      <c r="E211" s="10"/>
      <c r="F211" s="9"/>
      <c r="G211" s="9"/>
      <c r="H211" s="9"/>
      <c r="I211" s="10"/>
      <c r="J211" s="10"/>
    </row>
    <row r="212" customFormat="false" ht="15" hidden="false" customHeight="false" outlineLevel="0" collapsed="false">
      <c r="A212" s="9"/>
      <c r="B212" s="9"/>
      <c r="C212" s="9"/>
      <c r="D212" s="10"/>
      <c r="E212" s="10"/>
      <c r="F212" s="9"/>
      <c r="G212" s="9"/>
      <c r="H212" s="9"/>
      <c r="I212" s="10"/>
      <c r="J212" s="10"/>
    </row>
    <row r="213" customFormat="false" ht="15" hidden="false" customHeight="false" outlineLevel="0" collapsed="false">
      <c r="A213" s="9"/>
      <c r="B213" s="9"/>
      <c r="C213" s="9"/>
      <c r="D213" s="10"/>
      <c r="E213" s="10"/>
      <c r="F213" s="9"/>
      <c r="G213" s="9"/>
      <c r="H213" s="9"/>
      <c r="I213" s="10"/>
      <c r="J213" s="10"/>
    </row>
    <row r="214" customFormat="false" ht="15" hidden="false" customHeight="false" outlineLevel="0" collapsed="false">
      <c r="A214" s="9"/>
      <c r="B214" s="9"/>
      <c r="C214" s="9"/>
      <c r="D214" s="10"/>
      <c r="E214" s="10"/>
      <c r="F214" s="9"/>
      <c r="G214" s="9"/>
      <c r="H214" s="9"/>
      <c r="I214" s="10"/>
      <c r="J214" s="10"/>
    </row>
    <row r="215" customFormat="false" ht="15" hidden="false" customHeight="false" outlineLevel="0" collapsed="false">
      <c r="A215" s="9"/>
      <c r="B215" s="9"/>
      <c r="C215" s="9"/>
      <c r="D215" s="10"/>
      <c r="E215" s="10"/>
      <c r="F215" s="9"/>
      <c r="G215" s="9"/>
      <c r="H215" s="9"/>
      <c r="I215" s="10"/>
      <c r="J215" s="10"/>
    </row>
    <row r="216" customFormat="false" ht="15" hidden="false" customHeight="false" outlineLevel="0" collapsed="false">
      <c r="A216" s="9"/>
      <c r="B216" s="9"/>
      <c r="C216" s="9"/>
      <c r="D216" s="10"/>
      <c r="E216" s="10"/>
      <c r="F216" s="9"/>
      <c r="G216" s="9"/>
      <c r="H216" s="9"/>
      <c r="I216" s="10"/>
      <c r="J216" s="10"/>
    </row>
    <row r="217" customFormat="false" ht="15" hidden="false" customHeight="false" outlineLevel="0" collapsed="false">
      <c r="A217" s="9"/>
      <c r="B217" s="9"/>
      <c r="C217" s="9"/>
      <c r="D217" s="10"/>
      <c r="E217" s="10"/>
      <c r="F217" s="9"/>
      <c r="G217" s="9"/>
      <c r="H217" s="9"/>
      <c r="I217" s="10"/>
      <c r="J217" s="10"/>
    </row>
    <row r="218" customFormat="false" ht="15" hidden="false" customHeight="false" outlineLevel="0" collapsed="false">
      <c r="A218" s="9"/>
      <c r="B218" s="9"/>
      <c r="C218" s="9"/>
      <c r="D218" s="10"/>
      <c r="E218" s="10"/>
      <c r="F218" s="9"/>
      <c r="G218" s="9"/>
      <c r="H218" s="9"/>
      <c r="I218" s="10"/>
      <c r="J218" s="10"/>
    </row>
    <row r="219" customFormat="false" ht="15" hidden="false" customHeight="false" outlineLevel="0" collapsed="false">
      <c r="A219" s="9"/>
      <c r="B219" s="9"/>
      <c r="C219" s="9"/>
      <c r="D219" s="10"/>
      <c r="E219" s="10"/>
      <c r="F219" s="9"/>
      <c r="G219" s="9"/>
      <c r="H219" s="9"/>
      <c r="I219" s="10"/>
      <c r="J219" s="10"/>
    </row>
    <row r="220" customFormat="false" ht="15" hidden="false" customHeight="false" outlineLevel="0" collapsed="false">
      <c r="A220" s="9"/>
      <c r="B220" s="9"/>
      <c r="C220" s="9"/>
      <c r="D220" s="10"/>
      <c r="E220" s="10"/>
      <c r="F220" s="9"/>
      <c r="G220" s="9"/>
      <c r="H220" s="9"/>
      <c r="I220" s="10"/>
      <c r="J220" s="10"/>
    </row>
    <row r="221" customFormat="false" ht="15" hidden="false" customHeight="false" outlineLevel="0" collapsed="false">
      <c r="A221" s="9"/>
      <c r="B221" s="9"/>
      <c r="C221" s="9"/>
      <c r="D221" s="10"/>
      <c r="E221" s="10"/>
      <c r="F221" s="9"/>
      <c r="G221" s="9"/>
      <c r="H221" s="9"/>
      <c r="I221" s="10"/>
      <c r="J221" s="10"/>
    </row>
    <row r="222" customFormat="false" ht="15" hidden="false" customHeight="false" outlineLevel="0" collapsed="false">
      <c r="A222" s="9"/>
      <c r="B222" s="9"/>
      <c r="C222" s="9"/>
      <c r="D222" s="10"/>
      <c r="E222" s="10"/>
      <c r="F222" s="9"/>
      <c r="G222" s="9"/>
      <c r="H222" s="9"/>
      <c r="I222" s="10"/>
      <c r="J222" s="10"/>
    </row>
    <row r="223" customFormat="false" ht="15" hidden="false" customHeight="false" outlineLevel="0" collapsed="false">
      <c r="A223" s="9"/>
      <c r="B223" s="9"/>
      <c r="C223" s="9"/>
      <c r="D223" s="10"/>
      <c r="E223" s="10"/>
      <c r="F223" s="9"/>
      <c r="G223" s="9"/>
      <c r="H223" s="9"/>
      <c r="I223" s="10"/>
      <c r="J223" s="10"/>
    </row>
    <row r="224" customFormat="false" ht="15" hidden="false" customHeight="false" outlineLevel="0" collapsed="false">
      <c r="A224" s="9"/>
      <c r="B224" s="9"/>
      <c r="C224" s="9"/>
      <c r="D224" s="10"/>
      <c r="E224" s="10"/>
      <c r="F224" s="9"/>
      <c r="G224" s="9"/>
      <c r="H224" s="9"/>
      <c r="I224" s="10"/>
      <c r="J224" s="10"/>
    </row>
    <row r="225" customFormat="false" ht="15" hidden="false" customHeight="false" outlineLevel="0" collapsed="false">
      <c r="A225" s="9"/>
      <c r="B225" s="9"/>
      <c r="C225" s="9"/>
      <c r="D225" s="10"/>
      <c r="E225" s="10"/>
      <c r="F225" s="9"/>
      <c r="G225" s="9"/>
      <c r="H225" s="9"/>
      <c r="I225" s="10"/>
      <c r="J225" s="10"/>
    </row>
    <row r="226" customFormat="false" ht="15" hidden="false" customHeight="false" outlineLevel="0" collapsed="false">
      <c r="A226" s="9"/>
      <c r="B226" s="9"/>
      <c r="C226" s="9"/>
      <c r="D226" s="10"/>
      <c r="E226" s="10"/>
      <c r="F226" s="9"/>
      <c r="G226" s="9"/>
      <c r="H226" s="9"/>
      <c r="I226" s="10"/>
      <c r="J226" s="10"/>
    </row>
    <row r="227" customFormat="false" ht="15" hidden="false" customHeight="false" outlineLevel="0" collapsed="false">
      <c r="A227" s="9"/>
      <c r="B227" s="9"/>
      <c r="C227" s="9"/>
      <c r="D227" s="10"/>
      <c r="E227" s="10"/>
      <c r="F227" s="9"/>
      <c r="G227" s="9"/>
      <c r="H227" s="9"/>
      <c r="I227" s="10"/>
      <c r="J227" s="10"/>
    </row>
    <row r="228" customFormat="false" ht="15" hidden="false" customHeight="false" outlineLevel="0" collapsed="false">
      <c r="A228" s="9"/>
      <c r="B228" s="9"/>
      <c r="C228" s="9"/>
      <c r="D228" s="10"/>
      <c r="E228" s="10"/>
      <c r="F228" s="9"/>
      <c r="G228" s="9"/>
      <c r="H228" s="9"/>
      <c r="I228" s="10"/>
      <c r="J228" s="10"/>
    </row>
    <row r="229" customFormat="false" ht="15" hidden="false" customHeight="false" outlineLevel="0" collapsed="false">
      <c r="A229" s="9"/>
      <c r="B229" s="9"/>
      <c r="C229" s="9"/>
      <c r="D229" s="10"/>
      <c r="E229" s="10"/>
      <c r="F229" s="9"/>
      <c r="G229" s="9"/>
      <c r="H229" s="9"/>
      <c r="I229" s="10"/>
      <c r="J229" s="10"/>
    </row>
    <row r="230" customFormat="false" ht="15" hidden="false" customHeight="false" outlineLevel="0" collapsed="false">
      <c r="A230" s="9"/>
      <c r="B230" s="9"/>
      <c r="C230" s="9"/>
      <c r="D230" s="10"/>
      <c r="E230" s="10"/>
      <c r="F230" s="9"/>
      <c r="G230" s="9"/>
      <c r="H230" s="9"/>
      <c r="I230" s="10"/>
      <c r="J230" s="10"/>
    </row>
    <row r="231" customFormat="false" ht="15" hidden="false" customHeight="false" outlineLevel="0" collapsed="false">
      <c r="A231" s="9"/>
      <c r="B231" s="9"/>
      <c r="C231" s="9"/>
      <c r="D231" s="10"/>
      <c r="E231" s="10"/>
      <c r="F231" s="9"/>
      <c r="G231" s="9"/>
      <c r="H231" s="9"/>
      <c r="I231" s="10"/>
      <c r="J231" s="10"/>
    </row>
    <row r="232" customFormat="false" ht="15" hidden="false" customHeight="false" outlineLevel="0" collapsed="false">
      <c r="A232" s="9"/>
      <c r="B232" s="9"/>
      <c r="C232" s="9"/>
      <c r="D232" s="10"/>
      <c r="E232" s="10"/>
      <c r="F232" s="9"/>
      <c r="G232" s="9"/>
      <c r="H232" s="9"/>
      <c r="I232" s="10"/>
      <c r="J232" s="10"/>
    </row>
    <row r="233" customFormat="false" ht="15" hidden="false" customHeight="false" outlineLevel="0" collapsed="false">
      <c r="A233" s="9"/>
      <c r="B233" s="9"/>
      <c r="C233" s="9"/>
      <c r="D233" s="10"/>
      <c r="E233" s="10"/>
      <c r="F233" s="9"/>
      <c r="G233" s="9"/>
      <c r="H233" s="9"/>
      <c r="I233" s="10"/>
      <c r="J233" s="10"/>
    </row>
    <row r="234" customFormat="false" ht="15" hidden="false" customHeight="false" outlineLevel="0" collapsed="false">
      <c r="A234" s="9"/>
      <c r="B234" s="9"/>
      <c r="C234" s="9"/>
      <c r="D234" s="10"/>
      <c r="E234" s="10"/>
      <c r="F234" s="9"/>
      <c r="G234" s="9"/>
      <c r="H234" s="9"/>
      <c r="I234" s="10"/>
      <c r="J234" s="10"/>
    </row>
    <row r="235" customFormat="false" ht="15" hidden="false" customHeight="false" outlineLevel="0" collapsed="false">
      <c r="A235" s="9"/>
      <c r="B235" s="9"/>
      <c r="C235" s="9"/>
      <c r="D235" s="10"/>
      <c r="E235" s="10"/>
      <c r="F235" s="9"/>
      <c r="G235" s="9"/>
      <c r="H235" s="9"/>
      <c r="I235" s="10"/>
      <c r="J235" s="10"/>
    </row>
    <row r="236" customFormat="false" ht="15" hidden="false" customHeight="false" outlineLevel="0" collapsed="false">
      <c r="A236" s="9"/>
      <c r="B236" s="9"/>
      <c r="C236" s="9"/>
      <c r="D236" s="10"/>
      <c r="E236" s="10"/>
      <c r="F236" s="9"/>
      <c r="G236" s="9"/>
      <c r="H236" s="9"/>
      <c r="I236" s="10"/>
      <c r="J236" s="10"/>
    </row>
    <row r="237" customFormat="false" ht="15" hidden="false" customHeight="false" outlineLevel="0" collapsed="false">
      <c r="A237" s="9"/>
      <c r="B237" s="9"/>
      <c r="C237" s="9"/>
      <c r="D237" s="10"/>
      <c r="E237" s="10"/>
      <c r="F237" s="9"/>
      <c r="G237" s="9"/>
      <c r="H237" s="9"/>
      <c r="I237" s="10"/>
      <c r="J237" s="10"/>
    </row>
    <row r="238" customFormat="false" ht="15" hidden="false" customHeight="false" outlineLevel="0" collapsed="false">
      <c r="A238" s="9"/>
      <c r="B238" s="9"/>
      <c r="C238" s="9"/>
      <c r="D238" s="10"/>
      <c r="E238" s="10"/>
      <c r="F238" s="9"/>
      <c r="G238" s="9"/>
      <c r="H238" s="9"/>
      <c r="I238" s="10"/>
      <c r="J238" s="10"/>
    </row>
    <row r="239" customFormat="false" ht="15" hidden="false" customHeight="false" outlineLevel="0" collapsed="false">
      <c r="A239" s="9"/>
      <c r="B239" s="9"/>
      <c r="C239" s="9"/>
      <c r="D239" s="10"/>
      <c r="E239" s="10"/>
      <c r="F239" s="9"/>
      <c r="G239" s="9"/>
      <c r="H239" s="9"/>
      <c r="I239" s="10"/>
      <c r="J239" s="10"/>
    </row>
    <row r="240" customFormat="false" ht="15" hidden="false" customHeight="false" outlineLevel="0" collapsed="false">
      <c r="A240" s="9"/>
      <c r="B240" s="9"/>
      <c r="C240" s="9"/>
      <c r="D240" s="10"/>
      <c r="E240" s="10"/>
      <c r="F240" s="9"/>
      <c r="G240" s="9"/>
      <c r="H240" s="9"/>
      <c r="I240" s="10"/>
      <c r="J240" s="10"/>
    </row>
    <row r="241" customFormat="false" ht="15" hidden="false" customHeight="false" outlineLevel="0" collapsed="false">
      <c r="A241" s="9"/>
      <c r="B241" s="9"/>
      <c r="C241" s="9"/>
      <c r="D241" s="10"/>
      <c r="E241" s="10"/>
      <c r="F241" s="9"/>
      <c r="G241" s="9"/>
      <c r="H241" s="9"/>
      <c r="I241" s="10"/>
      <c r="J241" s="10"/>
    </row>
    <row r="242" customFormat="false" ht="15" hidden="false" customHeight="false" outlineLevel="0" collapsed="false">
      <c r="A242" s="9"/>
      <c r="B242" s="9"/>
      <c r="C242" s="9"/>
      <c r="D242" s="10"/>
      <c r="E242" s="10"/>
      <c r="F242" s="9"/>
      <c r="G242" s="9"/>
      <c r="H242" s="9"/>
      <c r="I242" s="10"/>
      <c r="J242" s="10"/>
    </row>
    <row r="243" customFormat="false" ht="15" hidden="false" customHeight="false" outlineLevel="0" collapsed="false">
      <c r="A243" s="9"/>
      <c r="B243" s="9"/>
      <c r="C243" s="9"/>
      <c r="D243" s="10"/>
      <c r="E243" s="10"/>
      <c r="F243" s="9"/>
      <c r="G243" s="9"/>
      <c r="H243" s="9"/>
      <c r="I243" s="10"/>
      <c r="J243" s="10"/>
    </row>
    <row r="244" customFormat="false" ht="15" hidden="false" customHeight="false" outlineLevel="0" collapsed="false">
      <c r="A244" s="9"/>
      <c r="B244" s="9"/>
      <c r="C244" s="9"/>
      <c r="D244" s="10"/>
      <c r="E244" s="10"/>
      <c r="F244" s="9"/>
      <c r="G244" s="9"/>
      <c r="H244" s="9"/>
      <c r="I244" s="10"/>
      <c r="J244" s="10"/>
    </row>
    <row r="245" customFormat="false" ht="15" hidden="false" customHeight="false" outlineLevel="0" collapsed="false">
      <c r="A245" s="9"/>
      <c r="B245" s="9"/>
      <c r="C245" s="9"/>
      <c r="D245" s="10"/>
      <c r="E245" s="10"/>
      <c r="F245" s="9"/>
      <c r="G245" s="9"/>
      <c r="H245" s="9"/>
      <c r="I245" s="10"/>
      <c r="J245" s="10"/>
    </row>
    <row r="246" customFormat="false" ht="15" hidden="false" customHeight="false" outlineLevel="0" collapsed="false">
      <c r="A246" s="9"/>
      <c r="B246" s="9"/>
      <c r="C246" s="9"/>
      <c r="D246" s="10"/>
      <c r="E246" s="10"/>
      <c r="F246" s="9"/>
      <c r="G246" s="9"/>
      <c r="H246" s="9"/>
      <c r="I246" s="10"/>
      <c r="J246" s="10"/>
    </row>
    <row r="247" customFormat="false" ht="15" hidden="false" customHeight="false" outlineLevel="0" collapsed="false">
      <c r="A247" s="9"/>
      <c r="B247" s="9"/>
      <c r="C247" s="9"/>
      <c r="D247" s="10"/>
      <c r="E247" s="10"/>
      <c r="F247" s="9"/>
      <c r="G247" s="9"/>
      <c r="H247" s="9"/>
      <c r="I247" s="10"/>
      <c r="J247" s="10"/>
    </row>
    <row r="248" customFormat="false" ht="15" hidden="false" customHeight="false" outlineLevel="0" collapsed="false">
      <c r="A248" s="9"/>
      <c r="B248" s="9"/>
      <c r="C248" s="9"/>
      <c r="D248" s="10"/>
      <c r="E248" s="10"/>
      <c r="F248" s="9"/>
      <c r="G248" s="9"/>
      <c r="H248" s="9"/>
      <c r="I248" s="10"/>
      <c r="J248" s="10"/>
    </row>
    <row r="249" customFormat="false" ht="15" hidden="false" customHeight="false" outlineLevel="0" collapsed="false">
      <c r="A249" s="9"/>
      <c r="B249" s="9"/>
      <c r="C249" s="9"/>
      <c r="D249" s="10"/>
      <c r="E249" s="10"/>
      <c r="F249" s="9"/>
      <c r="G249" s="9"/>
      <c r="H249" s="9"/>
      <c r="I249" s="10"/>
      <c r="J249" s="10"/>
    </row>
    <row r="250" customFormat="false" ht="15" hidden="false" customHeight="false" outlineLevel="0" collapsed="false">
      <c r="A250" s="9"/>
      <c r="B250" s="9"/>
      <c r="C250" s="9"/>
      <c r="D250" s="10"/>
      <c r="E250" s="10"/>
      <c r="F250" s="9"/>
      <c r="G250" s="9"/>
      <c r="H250" s="9"/>
      <c r="I250" s="10"/>
      <c r="J250" s="10"/>
    </row>
    <row r="251" customFormat="false" ht="15" hidden="false" customHeight="false" outlineLevel="0" collapsed="false">
      <c r="A251" s="9"/>
      <c r="B251" s="9"/>
      <c r="C251" s="9"/>
      <c r="D251" s="10"/>
      <c r="E251" s="10"/>
      <c r="F251" s="9"/>
      <c r="G251" s="9"/>
      <c r="H251" s="9"/>
      <c r="I251" s="10"/>
      <c r="J251" s="10"/>
    </row>
    <row r="252" customFormat="false" ht="15" hidden="false" customHeight="false" outlineLevel="0" collapsed="false">
      <c r="A252" s="9"/>
      <c r="B252" s="9"/>
      <c r="C252" s="9"/>
      <c r="D252" s="10"/>
      <c r="E252" s="10"/>
      <c r="F252" s="9"/>
      <c r="G252" s="9"/>
      <c r="H252" s="9"/>
      <c r="I252" s="10"/>
      <c r="J252" s="10"/>
    </row>
    <row r="253" customFormat="false" ht="15" hidden="false" customHeight="false" outlineLevel="0" collapsed="false">
      <c r="A253" s="9"/>
      <c r="B253" s="9"/>
      <c r="C253" s="9"/>
      <c r="D253" s="10"/>
      <c r="E253" s="10"/>
      <c r="F253" s="9"/>
      <c r="G253" s="9"/>
      <c r="H253" s="9"/>
      <c r="I253" s="10"/>
      <c r="J253" s="10"/>
    </row>
    <row r="254" customFormat="false" ht="15" hidden="false" customHeight="false" outlineLevel="0" collapsed="false">
      <c r="A254" s="9"/>
      <c r="B254" s="9"/>
      <c r="C254" s="9"/>
      <c r="D254" s="10"/>
      <c r="E254" s="10"/>
      <c r="F254" s="9"/>
      <c r="G254" s="9"/>
      <c r="H254" s="9"/>
      <c r="I254" s="10"/>
      <c r="J254" s="10"/>
    </row>
    <row r="255" customFormat="false" ht="15" hidden="false" customHeight="false" outlineLevel="0" collapsed="false">
      <c r="A255" s="9"/>
      <c r="B255" s="9"/>
      <c r="C255" s="9"/>
      <c r="D255" s="10"/>
      <c r="E255" s="10"/>
      <c r="F255" s="9"/>
      <c r="G255" s="9"/>
      <c r="H255" s="9"/>
      <c r="I255" s="10"/>
      <c r="J255" s="10"/>
    </row>
    <row r="256" customFormat="false" ht="15" hidden="false" customHeight="false" outlineLevel="0" collapsed="false">
      <c r="A256" s="9"/>
      <c r="B256" s="9"/>
      <c r="C256" s="9"/>
      <c r="D256" s="10"/>
      <c r="E256" s="10"/>
      <c r="F256" s="9"/>
      <c r="G256" s="9"/>
      <c r="H256" s="9"/>
      <c r="I256" s="10"/>
      <c r="J256" s="10"/>
    </row>
    <row r="257" customFormat="false" ht="15" hidden="false" customHeight="false" outlineLevel="0" collapsed="false">
      <c r="A257" s="9"/>
      <c r="B257" s="9"/>
      <c r="C257" s="9"/>
      <c r="D257" s="10"/>
      <c r="E257" s="10"/>
      <c r="F257" s="9"/>
      <c r="G257" s="9"/>
      <c r="H257" s="9"/>
      <c r="I257" s="10"/>
      <c r="J257" s="10"/>
    </row>
    <row r="258" customFormat="false" ht="15" hidden="false" customHeight="false" outlineLevel="0" collapsed="false">
      <c r="A258" s="9"/>
      <c r="B258" s="9"/>
      <c r="C258" s="9"/>
      <c r="D258" s="10"/>
      <c r="E258" s="10"/>
      <c r="F258" s="9"/>
      <c r="G258" s="9"/>
      <c r="H258" s="9"/>
      <c r="I258" s="10"/>
      <c r="J258" s="10"/>
    </row>
    <row r="259" customFormat="false" ht="15" hidden="false" customHeight="false" outlineLevel="0" collapsed="false">
      <c r="A259" s="9"/>
      <c r="B259" s="9"/>
      <c r="C259" s="9"/>
      <c r="D259" s="10"/>
      <c r="E259" s="10"/>
      <c r="F259" s="9"/>
      <c r="G259" s="9"/>
      <c r="H259" s="9"/>
      <c r="I259" s="10"/>
      <c r="J259" s="10"/>
    </row>
    <row r="260" customFormat="false" ht="15" hidden="false" customHeight="false" outlineLevel="0" collapsed="false">
      <c r="A260" s="9"/>
      <c r="B260" s="9"/>
      <c r="C260" s="9"/>
      <c r="D260" s="10"/>
      <c r="E260" s="10"/>
      <c r="F260" s="9"/>
      <c r="G260" s="9"/>
      <c r="H260" s="9"/>
      <c r="I260" s="10"/>
      <c r="J260" s="10"/>
    </row>
    <row r="261" customFormat="false" ht="15" hidden="false" customHeight="false" outlineLevel="0" collapsed="false">
      <c r="A261" s="9"/>
      <c r="B261" s="9"/>
      <c r="C261" s="9"/>
      <c r="D261" s="10"/>
      <c r="E261" s="10"/>
      <c r="F261" s="9"/>
      <c r="G261" s="9"/>
      <c r="H261" s="9"/>
      <c r="I261" s="10"/>
      <c r="J261" s="10"/>
    </row>
    <row r="262" customFormat="false" ht="15" hidden="false" customHeight="false" outlineLevel="0" collapsed="false">
      <c r="A262" s="9"/>
      <c r="B262" s="9"/>
      <c r="C262" s="9"/>
      <c r="D262" s="10"/>
      <c r="E262" s="10"/>
      <c r="F262" s="9"/>
      <c r="G262" s="9"/>
      <c r="H262" s="9"/>
      <c r="I262" s="10"/>
      <c r="J262" s="10"/>
    </row>
    <row r="263" customFormat="false" ht="15" hidden="false" customHeight="false" outlineLevel="0" collapsed="false">
      <c r="A263" s="9"/>
      <c r="B263" s="9"/>
      <c r="C263" s="9"/>
      <c r="D263" s="10"/>
      <c r="E263" s="10"/>
      <c r="F263" s="9"/>
      <c r="G263" s="9"/>
      <c r="H263" s="9"/>
      <c r="I263" s="10"/>
      <c r="J263" s="10"/>
    </row>
    <row r="264" customFormat="false" ht="15" hidden="false" customHeight="false" outlineLevel="0" collapsed="false">
      <c r="A264" s="9"/>
      <c r="B264" s="9"/>
      <c r="C264" s="9"/>
      <c r="D264" s="10"/>
      <c r="E264" s="10"/>
      <c r="F264" s="9"/>
      <c r="G264" s="9"/>
      <c r="H264" s="9"/>
      <c r="I264" s="10"/>
      <c r="J264" s="10"/>
    </row>
    <row r="265" customFormat="false" ht="15" hidden="false" customHeight="false" outlineLevel="0" collapsed="false">
      <c r="A265" s="9"/>
      <c r="B265" s="9"/>
      <c r="C265" s="9"/>
      <c r="D265" s="10"/>
      <c r="E265" s="10"/>
      <c r="F265" s="9"/>
      <c r="G265" s="9"/>
      <c r="H265" s="9"/>
      <c r="I265" s="10"/>
      <c r="J265" s="10"/>
    </row>
    <row r="266" customFormat="false" ht="15" hidden="false" customHeight="false" outlineLevel="0" collapsed="false">
      <c r="A266" s="9"/>
      <c r="B266" s="9"/>
      <c r="C266" s="9"/>
      <c r="D266" s="10"/>
      <c r="E266" s="10"/>
      <c r="F266" s="9"/>
      <c r="G266" s="9"/>
      <c r="H266" s="9"/>
      <c r="I266" s="10"/>
      <c r="J266" s="10"/>
    </row>
    <row r="267" customFormat="false" ht="15" hidden="false" customHeight="false" outlineLevel="0" collapsed="false">
      <c r="A267" s="9"/>
      <c r="B267" s="9"/>
      <c r="C267" s="9"/>
      <c r="D267" s="10"/>
      <c r="E267" s="10"/>
      <c r="F267" s="9"/>
      <c r="G267" s="9"/>
      <c r="H267" s="9"/>
      <c r="I267" s="10"/>
      <c r="J267" s="10"/>
    </row>
    <row r="268" customFormat="false" ht="15" hidden="false" customHeight="false" outlineLevel="0" collapsed="false">
      <c r="A268" s="9"/>
      <c r="B268" s="9"/>
      <c r="C268" s="9"/>
      <c r="D268" s="10"/>
      <c r="E268" s="10"/>
      <c r="F268" s="9"/>
      <c r="G268" s="9"/>
      <c r="H268" s="9"/>
      <c r="I268" s="10"/>
      <c r="J268" s="10"/>
    </row>
    <row r="269" customFormat="false" ht="15" hidden="false" customHeight="false" outlineLevel="0" collapsed="false">
      <c r="A269" s="9"/>
      <c r="B269" s="9"/>
      <c r="C269" s="9"/>
      <c r="D269" s="10"/>
      <c r="E269" s="10"/>
      <c r="F269" s="9"/>
      <c r="G269" s="9"/>
      <c r="H269" s="9"/>
      <c r="I269" s="10"/>
      <c r="J269" s="10"/>
    </row>
    <row r="270" customFormat="false" ht="15" hidden="false" customHeight="false" outlineLevel="0" collapsed="false">
      <c r="A270" s="9"/>
      <c r="B270" s="9"/>
      <c r="C270" s="9"/>
      <c r="D270" s="10"/>
      <c r="E270" s="10"/>
      <c r="F270" s="9"/>
      <c r="G270" s="9"/>
      <c r="H270" s="9"/>
      <c r="I270" s="10"/>
      <c r="J270" s="10"/>
    </row>
    <row r="271" customFormat="false" ht="15" hidden="false" customHeight="false" outlineLevel="0" collapsed="false">
      <c r="A271" s="9"/>
      <c r="B271" s="9"/>
      <c r="C271" s="9"/>
      <c r="D271" s="10"/>
      <c r="E271" s="10"/>
      <c r="F271" s="9"/>
      <c r="G271" s="9"/>
      <c r="H271" s="9"/>
      <c r="I271" s="10"/>
      <c r="J271" s="10"/>
    </row>
    <row r="272" customFormat="false" ht="15" hidden="false" customHeight="false" outlineLevel="0" collapsed="false">
      <c r="A272" s="9"/>
      <c r="B272" s="9"/>
      <c r="C272" s="9"/>
      <c r="D272" s="10"/>
      <c r="E272" s="10"/>
      <c r="F272" s="9"/>
      <c r="G272" s="9"/>
      <c r="H272" s="9"/>
      <c r="I272" s="10"/>
      <c r="J272" s="10"/>
    </row>
    <row r="273" customFormat="false" ht="15" hidden="false" customHeight="false" outlineLevel="0" collapsed="false">
      <c r="A273" s="9"/>
      <c r="B273" s="9"/>
      <c r="C273" s="9"/>
      <c r="D273" s="10"/>
      <c r="E273" s="10"/>
      <c r="F273" s="9"/>
      <c r="G273" s="9"/>
      <c r="H273" s="9"/>
      <c r="I273" s="10"/>
      <c r="J273" s="10"/>
    </row>
    <row r="274" customFormat="false" ht="15" hidden="false" customHeight="false" outlineLevel="0" collapsed="false">
      <c r="A274" s="9"/>
      <c r="B274" s="9"/>
      <c r="C274" s="9"/>
      <c r="D274" s="10"/>
      <c r="E274" s="10"/>
      <c r="F274" s="9"/>
      <c r="G274" s="9"/>
      <c r="H274" s="9"/>
      <c r="I274" s="10"/>
      <c r="J274" s="10"/>
    </row>
    <row r="275" customFormat="false" ht="15" hidden="false" customHeight="false" outlineLevel="0" collapsed="false">
      <c r="A275" s="9"/>
      <c r="B275" s="9"/>
      <c r="C275" s="9"/>
      <c r="D275" s="10"/>
      <c r="E275" s="10"/>
      <c r="F275" s="9"/>
      <c r="G275" s="9"/>
      <c r="H275" s="9"/>
      <c r="I275" s="10"/>
      <c r="J275" s="10"/>
    </row>
    <row r="276" customFormat="false" ht="15" hidden="false" customHeight="false" outlineLevel="0" collapsed="false">
      <c r="A276" s="9"/>
      <c r="B276" s="9"/>
      <c r="C276" s="9"/>
      <c r="D276" s="10"/>
      <c r="E276" s="10"/>
      <c r="F276" s="9"/>
      <c r="G276" s="9"/>
      <c r="H276" s="9"/>
      <c r="I276" s="10"/>
      <c r="J276" s="10"/>
    </row>
    <row r="277" customFormat="false" ht="15" hidden="false" customHeight="false" outlineLevel="0" collapsed="false">
      <c r="A277" s="9"/>
      <c r="B277" s="9"/>
      <c r="C277" s="9"/>
      <c r="D277" s="10"/>
      <c r="E277" s="10"/>
      <c r="F277" s="9"/>
      <c r="G277" s="9"/>
      <c r="H277" s="9"/>
      <c r="I277" s="10"/>
      <c r="J277" s="10"/>
    </row>
    <row r="278" customFormat="false" ht="15" hidden="false" customHeight="false" outlineLevel="0" collapsed="false">
      <c r="A278" s="9"/>
      <c r="B278" s="9"/>
      <c r="C278" s="9"/>
      <c r="D278" s="10"/>
      <c r="E278" s="10"/>
      <c r="F278" s="9"/>
      <c r="G278" s="9"/>
      <c r="H278" s="9"/>
      <c r="I278" s="10"/>
      <c r="J278" s="10"/>
    </row>
    <row r="279" customFormat="false" ht="15" hidden="false" customHeight="false" outlineLevel="0" collapsed="false">
      <c r="A279" s="9"/>
      <c r="B279" s="9"/>
      <c r="C279" s="9"/>
      <c r="D279" s="10"/>
      <c r="E279" s="10"/>
      <c r="F279" s="9"/>
      <c r="G279" s="9"/>
      <c r="H279" s="9"/>
      <c r="I279" s="10"/>
      <c r="J279" s="10"/>
    </row>
    <row r="280" customFormat="false" ht="15" hidden="false" customHeight="false" outlineLevel="0" collapsed="false">
      <c r="A280" s="9"/>
      <c r="B280" s="9"/>
      <c r="C280" s="9"/>
      <c r="D280" s="10"/>
      <c r="E280" s="10"/>
      <c r="F280" s="9"/>
      <c r="G280" s="9"/>
      <c r="H280" s="9"/>
      <c r="I280" s="10"/>
      <c r="J280" s="10"/>
    </row>
    <row r="281" customFormat="false" ht="15" hidden="false" customHeight="false" outlineLevel="0" collapsed="false">
      <c r="A281" s="9"/>
      <c r="B281" s="9"/>
      <c r="C281" s="9"/>
      <c r="D281" s="10"/>
      <c r="E281" s="10"/>
      <c r="F281" s="9"/>
      <c r="G281" s="9"/>
      <c r="H281" s="9"/>
      <c r="I281" s="10"/>
      <c r="J281" s="10"/>
    </row>
    <row r="282" customFormat="false" ht="15" hidden="false" customHeight="false" outlineLevel="0" collapsed="false">
      <c r="A282" s="9"/>
      <c r="B282" s="9"/>
      <c r="C282" s="9"/>
      <c r="D282" s="10"/>
      <c r="E282" s="10"/>
      <c r="F282" s="9"/>
      <c r="G282" s="9"/>
      <c r="H282" s="9"/>
      <c r="I282" s="10"/>
      <c r="J282" s="10"/>
    </row>
    <row r="283" customFormat="false" ht="15" hidden="false" customHeight="false" outlineLevel="0" collapsed="false">
      <c r="A283" s="9"/>
      <c r="B283" s="9"/>
      <c r="C283" s="9"/>
      <c r="D283" s="10"/>
      <c r="E283" s="10"/>
      <c r="F283" s="9"/>
      <c r="G283" s="9"/>
      <c r="H283" s="9"/>
      <c r="I283" s="10"/>
      <c r="J283" s="10"/>
    </row>
    <row r="284" customFormat="false" ht="15" hidden="false" customHeight="false" outlineLevel="0" collapsed="false">
      <c r="A284" s="9"/>
      <c r="B284" s="9"/>
      <c r="C284" s="9"/>
      <c r="D284" s="10"/>
      <c r="E284" s="10"/>
      <c r="F284" s="9"/>
      <c r="G284" s="9"/>
      <c r="H284" s="9"/>
      <c r="I284" s="10"/>
      <c r="J284" s="10"/>
    </row>
    <row r="285" customFormat="false" ht="15" hidden="false" customHeight="false" outlineLevel="0" collapsed="false">
      <c r="A285" s="9"/>
      <c r="B285" s="9"/>
      <c r="C285" s="9"/>
      <c r="D285" s="10"/>
      <c r="E285" s="10"/>
      <c r="F285" s="9"/>
      <c r="G285" s="9"/>
      <c r="H285" s="9"/>
      <c r="I285" s="10"/>
      <c r="J285" s="10"/>
    </row>
    <row r="286" customFormat="false" ht="15" hidden="false" customHeight="false" outlineLevel="0" collapsed="false">
      <c r="A286" s="9"/>
      <c r="B286" s="9"/>
      <c r="C286" s="9"/>
      <c r="D286" s="10"/>
      <c r="E286" s="10"/>
      <c r="F286" s="9"/>
      <c r="G286" s="9"/>
      <c r="H286" s="9"/>
      <c r="I286" s="10"/>
      <c r="J286" s="10"/>
    </row>
    <row r="287" customFormat="false" ht="15" hidden="false" customHeight="false" outlineLevel="0" collapsed="false">
      <c r="A287" s="9"/>
      <c r="B287" s="9"/>
      <c r="C287" s="9"/>
      <c r="D287" s="10"/>
      <c r="E287" s="10"/>
      <c r="F287" s="9"/>
      <c r="G287" s="9"/>
      <c r="H287" s="9"/>
      <c r="I287" s="10"/>
      <c r="J287" s="10"/>
    </row>
    <row r="288" customFormat="false" ht="15" hidden="false" customHeight="false" outlineLevel="0" collapsed="false">
      <c r="A288" s="9"/>
      <c r="B288" s="9"/>
      <c r="C288" s="9"/>
      <c r="D288" s="10"/>
      <c r="E288" s="10"/>
      <c r="F288" s="9"/>
      <c r="G288" s="9"/>
      <c r="H288" s="9"/>
      <c r="I288" s="10"/>
      <c r="J288" s="10"/>
    </row>
    <row r="289" customFormat="false" ht="15" hidden="false" customHeight="false" outlineLevel="0" collapsed="false">
      <c r="A289" s="9"/>
      <c r="B289" s="9"/>
      <c r="C289" s="9"/>
      <c r="D289" s="10"/>
      <c r="E289" s="10"/>
      <c r="F289" s="9"/>
      <c r="G289" s="9"/>
      <c r="H289" s="9"/>
      <c r="I289" s="10"/>
      <c r="J289" s="10"/>
    </row>
    <row r="290" customFormat="false" ht="15" hidden="false" customHeight="false" outlineLevel="0" collapsed="false">
      <c r="A290" s="9"/>
      <c r="B290" s="9"/>
      <c r="C290" s="9"/>
      <c r="D290" s="10"/>
      <c r="E290" s="10"/>
      <c r="F290" s="9"/>
      <c r="G290" s="9"/>
      <c r="H290" s="9"/>
      <c r="I290" s="10"/>
      <c r="J290" s="10"/>
    </row>
    <row r="291" customFormat="false" ht="15" hidden="false" customHeight="false" outlineLevel="0" collapsed="false">
      <c r="A291" s="9"/>
      <c r="B291" s="9"/>
      <c r="C291" s="9"/>
      <c r="D291" s="10"/>
      <c r="E291" s="10"/>
      <c r="F291" s="9"/>
      <c r="G291" s="9"/>
      <c r="H291" s="9"/>
      <c r="I291" s="10"/>
      <c r="J291" s="10"/>
    </row>
    <row r="292" customFormat="false" ht="15" hidden="false" customHeight="false" outlineLevel="0" collapsed="false">
      <c r="A292" s="9"/>
      <c r="B292" s="9"/>
      <c r="C292" s="9"/>
      <c r="D292" s="10"/>
      <c r="E292" s="10"/>
      <c r="F292" s="9"/>
      <c r="G292" s="9"/>
      <c r="H292" s="9"/>
      <c r="I292" s="10"/>
      <c r="J292" s="10"/>
    </row>
    <row r="293" customFormat="false" ht="15" hidden="false" customHeight="false" outlineLevel="0" collapsed="false">
      <c r="A293" s="9"/>
      <c r="B293" s="9"/>
      <c r="C293" s="9"/>
      <c r="D293" s="10"/>
      <c r="E293" s="10"/>
      <c r="F293" s="9"/>
      <c r="G293" s="9"/>
      <c r="H293" s="9"/>
      <c r="I293" s="10"/>
      <c r="J293" s="10"/>
    </row>
    <row r="294" customFormat="false" ht="15" hidden="false" customHeight="false" outlineLevel="0" collapsed="false">
      <c r="A294" s="9"/>
      <c r="B294" s="9"/>
      <c r="C294" s="9"/>
      <c r="D294" s="10"/>
      <c r="E294" s="10"/>
      <c r="F294" s="9"/>
      <c r="G294" s="9"/>
      <c r="H294" s="9"/>
      <c r="I294" s="10"/>
      <c r="J294" s="10"/>
    </row>
    <row r="295" customFormat="false" ht="15" hidden="false" customHeight="false" outlineLevel="0" collapsed="false">
      <c r="A295" s="9"/>
      <c r="B295" s="9"/>
      <c r="C295" s="9"/>
      <c r="D295" s="10"/>
      <c r="E295" s="10"/>
      <c r="F295" s="9"/>
      <c r="G295" s="9"/>
      <c r="H295" s="9"/>
      <c r="I295" s="10"/>
      <c r="J295" s="10"/>
    </row>
    <row r="296" customFormat="false" ht="15" hidden="false" customHeight="false" outlineLevel="0" collapsed="false">
      <c r="A296" s="9"/>
      <c r="B296" s="9"/>
      <c r="C296" s="9"/>
      <c r="D296" s="10"/>
      <c r="E296" s="10"/>
      <c r="F296" s="9"/>
      <c r="G296" s="9"/>
      <c r="H296" s="9"/>
      <c r="I296" s="10"/>
      <c r="J296" s="10"/>
    </row>
    <row r="297" customFormat="false" ht="15" hidden="false" customHeight="false" outlineLevel="0" collapsed="false">
      <c r="A297" s="9"/>
      <c r="B297" s="9"/>
      <c r="C297" s="9"/>
      <c r="D297" s="10"/>
      <c r="E297" s="10"/>
      <c r="F297" s="9"/>
      <c r="G297" s="9"/>
      <c r="H297" s="9"/>
      <c r="I297" s="10"/>
      <c r="J297" s="10"/>
    </row>
    <row r="298" customFormat="false" ht="15" hidden="false" customHeight="false" outlineLevel="0" collapsed="false">
      <c r="A298" s="9"/>
      <c r="B298" s="9"/>
      <c r="C298" s="9"/>
      <c r="D298" s="10"/>
      <c r="E298" s="10"/>
      <c r="F298" s="9"/>
      <c r="G298" s="9"/>
      <c r="H298" s="9"/>
      <c r="I298" s="10"/>
      <c r="J298" s="10"/>
    </row>
    <row r="299" customFormat="false" ht="15" hidden="false" customHeight="false" outlineLevel="0" collapsed="false">
      <c r="A299" s="9"/>
      <c r="B299" s="9"/>
      <c r="C299" s="9"/>
      <c r="D299" s="10"/>
      <c r="E299" s="10"/>
      <c r="F299" s="9"/>
      <c r="G299" s="9"/>
      <c r="H299" s="9"/>
      <c r="I299" s="10"/>
      <c r="J299" s="10"/>
    </row>
    <row r="300" customFormat="false" ht="15" hidden="false" customHeight="false" outlineLevel="0" collapsed="false">
      <c r="A300" s="9"/>
      <c r="B300" s="9"/>
      <c r="C300" s="9"/>
      <c r="D300" s="10"/>
      <c r="E300" s="10"/>
      <c r="F300" s="9"/>
      <c r="G300" s="9"/>
      <c r="H300" s="9"/>
      <c r="I300" s="10"/>
      <c r="J300" s="10"/>
    </row>
    <row r="301" customFormat="false" ht="15" hidden="false" customHeight="false" outlineLevel="0" collapsed="false">
      <c r="A301" s="9"/>
      <c r="B301" s="9"/>
      <c r="C301" s="9"/>
      <c r="D301" s="10"/>
      <c r="E301" s="10"/>
      <c r="F301" s="9"/>
      <c r="G301" s="9"/>
      <c r="H301" s="9"/>
      <c r="I301" s="10"/>
      <c r="J301" s="10"/>
    </row>
    <row r="302" customFormat="false" ht="15" hidden="false" customHeight="false" outlineLevel="0" collapsed="false">
      <c r="A302" s="9"/>
      <c r="B302" s="9"/>
      <c r="C302" s="9"/>
      <c r="D302" s="10"/>
      <c r="E302" s="10"/>
      <c r="F302" s="9"/>
      <c r="G302" s="9"/>
      <c r="H302" s="9"/>
      <c r="I302" s="10"/>
      <c r="J302" s="10"/>
    </row>
    <row r="303" customFormat="false" ht="15" hidden="false" customHeight="false" outlineLevel="0" collapsed="false">
      <c r="A303" s="9"/>
      <c r="B303" s="9"/>
      <c r="C303" s="9"/>
      <c r="D303" s="10"/>
      <c r="E303" s="10"/>
      <c r="F303" s="9"/>
      <c r="G303" s="9"/>
      <c r="H303" s="9"/>
      <c r="I303" s="10"/>
      <c r="J303" s="10"/>
    </row>
    <row r="304" customFormat="false" ht="15" hidden="false" customHeight="false" outlineLevel="0" collapsed="false">
      <c r="A304" s="9"/>
      <c r="B304" s="9"/>
      <c r="C304" s="9"/>
      <c r="D304" s="10"/>
      <c r="E304" s="10"/>
      <c r="F304" s="9"/>
      <c r="G304" s="9"/>
      <c r="H304" s="9"/>
      <c r="I304" s="10"/>
      <c r="J304" s="10"/>
    </row>
    <row r="305" customFormat="false" ht="15" hidden="false" customHeight="false" outlineLevel="0" collapsed="false">
      <c r="A305" s="9"/>
      <c r="B305" s="9"/>
      <c r="C305" s="9"/>
      <c r="D305" s="10"/>
      <c r="E305" s="10"/>
      <c r="F305" s="9"/>
      <c r="G305" s="9"/>
      <c r="H305" s="9"/>
      <c r="I305" s="10"/>
      <c r="J305" s="10"/>
    </row>
    <row r="306" customFormat="false" ht="15" hidden="false" customHeight="false" outlineLevel="0" collapsed="false">
      <c r="A306" s="9"/>
      <c r="B306" s="9"/>
      <c r="C306" s="9"/>
      <c r="D306" s="10"/>
      <c r="E306" s="10"/>
      <c r="F306" s="9"/>
      <c r="G306" s="9"/>
      <c r="H306" s="9"/>
      <c r="I306" s="10"/>
      <c r="J306" s="10"/>
    </row>
    <row r="307" customFormat="false" ht="15" hidden="false" customHeight="false" outlineLevel="0" collapsed="false">
      <c r="A307" s="9"/>
      <c r="B307" s="9"/>
      <c r="C307" s="9"/>
      <c r="D307" s="10"/>
      <c r="E307" s="10"/>
      <c r="F307" s="9"/>
      <c r="G307" s="9"/>
      <c r="H307" s="9"/>
      <c r="I307" s="10"/>
      <c r="J307" s="10"/>
    </row>
    <row r="308" customFormat="false" ht="15" hidden="false" customHeight="false" outlineLevel="0" collapsed="false">
      <c r="A308" s="9"/>
      <c r="B308" s="9"/>
      <c r="C308" s="9"/>
      <c r="D308" s="10"/>
      <c r="E308" s="10"/>
      <c r="F308" s="9"/>
      <c r="G308" s="9"/>
      <c r="H308" s="9"/>
      <c r="I308" s="10"/>
      <c r="J308" s="10"/>
    </row>
    <row r="309" customFormat="false" ht="15" hidden="false" customHeight="false" outlineLevel="0" collapsed="false">
      <c r="A309" s="9"/>
      <c r="B309" s="9"/>
      <c r="C309" s="9"/>
      <c r="D309" s="10"/>
      <c r="E309" s="10"/>
      <c r="F309" s="9"/>
      <c r="G309" s="9"/>
      <c r="H309" s="9"/>
      <c r="I309" s="10"/>
      <c r="J309" s="10"/>
    </row>
    <row r="310" customFormat="false" ht="15" hidden="false" customHeight="false" outlineLevel="0" collapsed="false">
      <c r="A310" s="9"/>
      <c r="B310" s="9"/>
      <c r="C310" s="9"/>
      <c r="D310" s="10"/>
      <c r="E310" s="10"/>
      <c r="F310" s="9"/>
      <c r="G310" s="9"/>
      <c r="H310" s="9"/>
      <c r="I310" s="10"/>
      <c r="J310" s="10"/>
    </row>
    <row r="311" customFormat="false" ht="15" hidden="false" customHeight="false" outlineLevel="0" collapsed="false">
      <c r="A311" s="9"/>
      <c r="B311" s="9"/>
      <c r="C311" s="9"/>
      <c r="D311" s="10"/>
      <c r="E311" s="10"/>
      <c r="F311" s="9"/>
      <c r="G311" s="9"/>
      <c r="H311" s="9"/>
      <c r="I311" s="10"/>
      <c r="J311" s="10"/>
    </row>
    <row r="312" customFormat="false" ht="15" hidden="false" customHeight="false" outlineLevel="0" collapsed="false">
      <c r="A312" s="9"/>
      <c r="B312" s="9"/>
      <c r="C312" s="9"/>
      <c r="D312" s="10"/>
      <c r="E312" s="10"/>
      <c r="F312" s="9"/>
      <c r="G312" s="9"/>
      <c r="H312" s="9"/>
      <c r="I312" s="10"/>
      <c r="J312" s="10"/>
    </row>
    <row r="313" customFormat="false" ht="15" hidden="false" customHeight="false" outlineLevel="0" collapsed="false">
      <c r="A313" s="9"/>
      <c r="B313" s="9"/>
      <c r="C313" s="9"/>
      <c r="D313" s="10"/>
      <c r="E313" s="10"/>
      <c r="F313" s="9"/>
      <c r="G313" s="9"/>
      <c r="H313" s="9"/>
      <c r="I313" s="10"/>
      <c r="J313" s="10"/>
    </row>
    <row r="314" customFormat="false" ht="15" hidden="false" customHeight="false" outlineLevel="0" collapsed="false">
      <c r="A314" s="9"/>
      <c r="B314" s="9"/>
      <c r="C314" s="9"/>
      <c r="D314" s="10"/>
      <c r="E314" s="10"/>
      <c r="F314" s="9"/>
      <c r="G314" s="9"/>
      <c r="H314" s="9"/>
      <c r="I314" s="10"/>
      <c r="J314" s="10"/>
    </row>
    <row r="315" customFormat="false" ht="15" hidden="false" customHeight="false" outlineLevel="0" collapsed="false">
      <c r="A315" s="9"/>
      <c r="B315" s="9"/>
      <c r="C315" s="9"/>
      <c r="D315" s="10"/>
      <c r="E315" s="10"/>
      <c r="F315" s="9"/>
      <c r="G315" s="9"/>
      <c r="H315" s="9"/>
      <c r="I315" s="10"/>
      <c r="J315" s="10"/>
    </row>
    <row r="316" customFormat="false" ht="15" hidden="false" customHeight="false" outlineLevel="0" collapsed="false">
      <c r="A316" s="9"/>
      <c r="B316" s="9"/>
      <c r="C316" s="9"/>
      <c r="D316" s="10"/>
      <c r="E316" s="10"/>
      <c r="F316" s="9"/>
      <c r="G316" s="9"/>
      <c r="H316" s="9"/>
      <c r="I316" s="10"/>
      <c r="J316" s="10"/>
    </row>
    <row r="317" customFormat="false" ht="15" hidden="false" customHeight="false" outlineLevel="0" collapsed="false">
      <c r="A317" s="9"/>
      <c r="B317" s="9"/>
      <c r="C317" s="9"/>
      <c r="D317" s="10"/>
      <c r="E317" s="10"/>
      <c r="F317" s="9"/>
      <c r="G317" s="9"/>
      <c r="H317" s="9"/>
      <c r="I317" s="10"/>
      <c r="J317" s="10"/>
    </row>
    <row r="318" customFormat="false" ht="15" hidden="false" customHeight="false" outlineLevel="0" collapsed="false">
      <c r="A318" s="9"/>
      <c r="B318" s="9"/>
      <c r="C318" s="9"/>
      <c r="D318" s="10"/>
      <c r="E318" s="10"/>
      <c r="F318" s="9"/>
      <c r="G318" s="9"/>
      <c r="H318" s="9"/>
      <c r="I318" s="10"/>
      <c r="J318" s="10"/>
    </row>
    <row r="319" customFormat="false" ht="15" hidden="false" customHeight="false" outlineLevel="0" collapsed="false">
      <c r="A319" s="9"/>
      <c r="B319" s="9"/>
      <c r="C319" s="9"/>
      <c r="D319" s="10"/>
      <c r="E319" s="10"/>
      <c r="F319" s="9"/>
      <c r="G319" s="9"/>
      <c r="H319" s="9"/>
      <c r="I319" s="10"/>
      <c r="J319" s="10"/>
    </row>
    <row r="320" customFormat="false" ht="15" hidden="false" customHeight="false" outlineLevel="0" collapsed="false">
      <c r="A320" s="9"/>
      <c r="B320" s="9"/>
      <c r="C320" s="9"/>
      <c r="D320" s="10"/>
      <c r="E320" s="10"/>
      <c r="F320" s="9"/>
      <c r="G320" s="9"/>
      <c r="H320" s="9"/>
      <c r="I320" s="10"/>
      <c r="J320" s="10"/>
    </row>
    <row r="321" customFormat="false" ht="15" hidden="false" customHeight="false" outlineLevel="0" collapsed="false">
      <c r="A321" s="9"/>
      <c r="B321" s="9"/>
      <c r="C321" s="9"/>
      <c r="D321" s="10"/>
      <c r="E321" s="10"/>
      <c r="F321" s="9"/>
      <c r="G321" s="9"/>
      <c r="H321" s="9"/>
      <c r="I321" s="10"/>
      <c r="J321" s="10"/>
    </row>
    <row r="322" customFormat="false" ht="15" hidden="false" customHeight="false" outlineLevel="0" collapsed="false">
      <c r="A322" s="9"/>
      <c r="B322" s="9"/>
      <c r="C322" s="9"/>
      <c r="D322" s="10"/>
      <c r="E322" s="10"/>
      <c r="F322" s="9"/>
      <c r="G322" s="9"/>
      <c r="H322" s="9"/>
      <c r="I322" s="10"/>
      <c r="J322" s="10"/>
    </row>
    <row r="323" customFormat="false" ht="15" hidden="false" customHeight="false" outlineLevel="0" collapsed="false">
      <c r="A323" s="9"/>
      <c r="B323" s="9"/>
      <c r="C323" s="9"/>
      <c r="D323" s="10"/>
      <c r="E323" s="10"/>
      <c r="F323" s="9"/>
      <c r="G323" s="9"/>
      <c r="H323" s="9"/>
      <c r="I323" s="10"/>
      <c r="J323" s="10"/>
    </row>
    <row r="324" customFormat="false" ht="15" hidden="false" customHeight="false" outlineLevel="0" collapsed="false">
      <c r="A324" s="9"/>
      <c r="B324" s="9"/>
      <c r="C324" s="9"/>
      <c r="D324" s="10"/>
      <c r="E324" s="10"/>
      <c r="F324" s="9"/>
      <c r="G324" s="9"/>
      <c r="H324" s="9"/>
      <c r="I324" s="10"/>
      <c r="J324" s="10"/>
    </row>
    <row r="325" customFormat="false" ht="15" hidden="false" customHeight="false" outlineLevel="0" collapsed="false">
      <c r="A325" s="9"/>
      <c r="B325" s="9"/>
      <c r="C325" s="9"/>
      <c r="D325" s="10"/>
      <c r="E325" s="10"/>
      <c r="F325" s="9"/>
      <c r="G325" s="9"/>
      <c r="H325" s="9"/>
      <c r="I325" s="10"/>
      <c r="J325" s="10"/>
    </row>
    <row r="326" customFormat="false" ht="15" hidden="false" customHeight="false" outlineLevel="0" collapsed="false">
      <c r="A326" s="9"/>
      <c r="B326" s="9"/>
      <c r="C326" s="9"/>
      <c r="D326" s="10"/>
      <c r="E326" s="10"/>
      <c r="F326" s="9"/>
      <c r="G326" s="9"/>
      <c r="H326" s="9"/>
      <c r="I326" s="10"/>
      <c r="J326" s="10"/>
    </row>
    <row r="327" customFormat="false" ht="15" hidden="false" customHeight="false" outlineLevel="0" collapsed="false">
      <c r="A327" s="9"/>
      <c r="B327" s="9"/>
      <c r="C327" s="9"/>
      <c r="D327" s="10"/>
      <c r="E327" s="10"/>
      <c r="F327" s="9"/>
      <c r="G327" s="9"/>
      <c r="H327" s="9"/>
      <c r="I327" s="10"/>
      <c r="J327" s="10"/>
    </row>
    <row r="328" customFormat="false" ht="15" hidden="false" customHeight="false" outlineLevel="0" collapsed="false">
      <c r="A328" s="9"/>
      <c r="B328" s="9"/>
      <c r="C328" s="9"/>
      <c r="D328" s="10"/>
      <c r="E328" s="10"/>
      <c r="F328" s="9"/>
      <c r="G328" s="9"/>
      <c r="H328" s="9"/>
      <c r="I328" s="10"/>
      <c r="J328" s="10"/>
    </row>
    <row r="329" customFormat="false" ht="15" hidden="false" customHeight="false" outlineLevel="0" collapsed="false">
      <c r="A329" s="9"/>
      <c r="B329" s="9"/>
      <c r="C329" s="9"/>
      <c r="D329" s="10"/>
      <c r="E329" s="10"/>
      <c r="F329" s="9"/>
      <c r="G329" s="9"/>
      <c r="H329" s="9"/>
      <c r="I329" s="10"/>
      <c r="J329" s="10"/>
    </row>
    <row r="330" customFormat="false" ht="15" hidden="false" customHeight="false" outlineLevel="0" collapsed="false">
      <c r="A330" s="9"/>
      <c r="B330" s="9"/>
      <c r="C330" s="9"/>
      <c r="D330" s="10"/>
      <c r="E330" s="10"/>
      <c r="F330" s="9"/>
      <c r="G330" s="9"/>
      <c r="H330" s="9"/>
      <c r="I330" s="10"/>
      <c r="J330" s="10"/>
    </row>
    <row r="331" customFormat="false" ht="15" hidden="false" customHeight="false" outlineLevel="0" collapsed="false">
      <c r="A331" s="9"/>
      <c r="B331" s="9"/>
      <c r="C331" s="9"/>
      <c r="D331" s="10"/>
      <c r="E331" s="10"/>
      <c r="F331" s="9"/>
      <c r="G331" s="9"/>
      <c r="H331" s="9"/>
      <c r="I331" s="10"/>
      <c r="J331" s="10"/>
    </row>
    <row r="332" customFormat="false" ht="15" hidden="false" customHeight="false" outlineLevel="0" collapsed="false">
      <c r="A332" s="9"/>
      <c r="B332" s="9"/>
      <c r="C332" s="9"/>
      <c r="D332" s="10"/>
      <c r="E332" s="10"/>
      <c r="F332" s="9"/>
      <c r="G332" s="9"/>
      <c r="H332" s="9"/>
      <c r="I332" s="10"/>
      <c r="J332" s="10"/>
    </row>
    <row r="333" customFormat="false" ht="15" hidden="false" customHeight="false" outlineLevel="0" collapsed="false">
      <c r="A333" s="9"/>
      <c r="B333" s="9"/>
      <c r="C333" s="9"/>
      <c r="D333" s="10"/>
      <c r="E333" s="10"/>
      <c r="F333" s="9"/>
      <c r="G333" s="9"/>
      <c r="H333" s="9"/>
      <c r="I333" s="10"/>
      <c r="J333" s="10"/>
    </row>
    <row r="334" customFormat="false" ht="15" hidden="false" customHeight="false" outlineLevel="0" collapsed="false">
      <c r="A334" s="9"/>
      <c r="B334" s="9"/>
      <c r="C334" s="9"/>
      <c r="D334" s="10"/>
      <c r="E334" s="10"/>
      <c r="F334" s="9"/>
      <c r="G334" s="9"/>
      <c r="H334" s="9"/>
      <c r="I334" s="10"/>
      <c r="J334" s="10"/>
    </row>
    <row r="335" customFormat="false" ht="15" hidden="false" customHeight="false" outlineLevel="0" collapsed="false">
      <c r="A335" s="9"/>
      <c r="B335" s="9"/>
      <c r="C335" s="9"/>
      <c r="D335" s="10"/>
      <c r="E335" s="10"/>
      <c r="F335" s="9"/>
      <c r="G335" s="9"/>
      <c r="H335" s="9"/>
      <c r="I335" s="10"/>
      <c r="J335" s="10"/>
    </row>
    <row r="336" customFormat="false" ht="15" hidden="false" customHeight="false" outlineLevel="0" collapsed="false">
      <c r="A336" s="9"/>
      <c r="B336" s="9"/>
      <c r="C336" s="9"/>
      <c r="D336" s="10"/>
      <c r="E336" s="10"/>
      <c r="F336" s="9"/>
      <c r="G336" s="9"/>
      <c r="H336" s="9"/>
      <c r="I336" s="10"/>
      <c r="J336" s="10"/>
    </row>
    <row r="337" customFormat="false" ht="15" hidden="false" customHeight="false" outlineLevel="0" collapsed="false">
      <c r="A337" s="9"/>
      <c r="B337" s="9"/>
      <c r="C337" s="9"/>
      <c r="D337" s="10"/>
      <c r="E337" s="10"/>
      <c r="F337" s="9"/>
      <c r="G337" s="9"/>
      <c r="H337" s="9"/>
      <c r="I337" s="10"/>
      <c r="J337" s="10"/>
    </row>
    <row r="338" customFormat="false" ht="15" hidden="false" customHeight="false" outlineLevel="0" collapsed="false">
      <c r="A338" s="9"/>
      <c r="B338" s="9"/>
      <c r="C338" s="9"/>
      <c r="D338" s="10"/>
      <c r="E338" s="10"/>
      <c r="F338" s="9"/>
      <c r="G338" s="9"/>
      <c r="H338" s="9"/>
      <c r="I338" s="10"/>
      <c r="J338" s="10"/>
    </row>
    <row r="339" customFormat="false" ht="15" hidden="false" customHeight="false" outlineLevel="0" collapsed="false">
      <c r="A339" s="9"/>
      <c r="B339" s="9"/>
      <c r="C339" s="9"/>
      <c r="D339" s="10"/>
      <c r="E339" s="10"/>
      <c r="F339" s="9"/>
      <c r="G339" s="9"/>
      <c r="H339" s="9"/>
      <c r="I339" s="10"/>
      <c r="J339" s="10"/>
    </row>
    <row r="340" customFormat="false" ht="15" hidden="false" customHeight="false" outlineLevel="0" collapsed="false">
      <c r="A340" s="9"/>
      <c r="B340" s="9"/>
      <c r="C340" s="9"/>
      <c r="D340" s="10"/>
      <c r="E340" s="10"/>
      <c r="F340" s="9"/>
      <c r="G340" s="9"/>
      <c r="H340" s="9"/>
      <c r="I340" s="10"/>
      <c r="J340" s="10"/>
    </row>
    <row r="341" customFormat="false" ht="15" hidden="false" customHeight="false" outlineLevel="0" collapsed="false">
      <c r="A341" s="9"/>
      <c r="B341" s="9"/>
      <c r="C341" s="9"/>
      <c r="D341" s="10"/>
      <c r="E341" s="10"/>
      <c r="F341" s="9"/>
      <c r="G341" s="9"/>
      <c r="H341" s="9"/>
      <c r="I341" s="10"/>
      <c r="J341" s="10"/>
    </row>
    <row r="342" customFormat="false" ht="15" hidden="false" customHeight="false" outlineLevel="0" collapsed="false">
      <c r="A342" s="9"/>
      <c r="B342" s="9"/>
      <c r="C342" s="9"/>
      <c r="D342" s="10"/>
      <c r="E342" s="10"/>
      <c r="F342" s="9"/>
      <c r="G342" s="9"/>
      <c r="H342" s="9"/>
      <c r="I342" s="10"/>
      <c r="J342" s="10"/>
    </row>
    <row r="343" customFormat="false" ht="15" hidden="false" customHeight="false" outlineLevel="0" collapsed="false">
      <c r="A343" s="9"/>
      <c r="B343" s="9"/>
      <c r="C343" s="9"/>
      <c r="D343" s="10"/>
      <c r="E343" s="10"/>
      <c r="F343" s="9"/>
      <c r="G343" s="9"/>
      <c r="H343" s="9"/>
      <c r="I343" s="10"/>
      <c r="J343" s="10"/>
    </row>
    <row r="344" customFormat="false" ht="15" hidden="false" customHeight="false" outlineLevel="0" collapsed="false">
      <c r="A344" s="9"/>
      <c r="B344" s="9"/>
      <c r="C344" s="9"/>
      <c r="D344" s="10"/>
      <c r="E344" s="10"/>
      <c r="F344" s="9"/>
      <c r="G344" s="9"/>
      <c r="H344" s="9"/>
      <c r="I344" s="10"/>
      <c r="J344" s="10"/>
    </row>
    <row r="345" customFormat="false" ht="15" hidden="false" customHeight="false" outlineLevel="0" collapsed="false">
      <c r="A345" s="9"/>
      <c r="B345" s="9"/>
      <c r="C345" s="9"/>
      <c r="D345" s="10"/>
      <c r="E345" s="10"/>
      <c r="F345" s="9"/>
      <c r="G345" s="9"/>
      <c r="H345" s="9"/>
      <c r="I345" s="10"/>
      <c r="J345" s="10"/>
    </row>
    <row r="346" customFormat="false" ht="15" hidden="false" customHeight="false" outlineLevel="0" collapsed="false">
      <c r="A346" s="9"/>
      <c r="B346" s="9"/>
      <c r="C346" s="9"/>
      <c r="D346" s="10"/>
      <c r="E346" s="10"/>
      <c r="F346" s="9"/>
      <c r="G346" s="9"/>
      <c r="H346" s="9"/>
      <c r="I346" s="10"/>
      <c r="J346" s="10"/>
    </row>
    <row r="347" customFormat="false" ht="15" hidden="false" customHeight="false" outlineLevel="0" collapsed="false">
      <c r="A347" s="9"/>
      <c r="B347" s="9"/>
      <c r="C347" s="9"/>
      <c r="D347" s="10"/>
      <c r="E347" s="10"/>
      <c r="F347" s="9"/>
      <c r="G347" s="9"/>
      <c r="H347" s="9"/>
      <c r="I347" s="10"/>
      <c r="J347" s="10"/>
    </row>
    <row r="348" customFormat="false" ht="15" hidden="false" customHeight="false" outlineLevel="0" collapsed="false">
      <c r="A348" s="9"/>
      <c r="B348" s="9"/>
      <c r="C348" s="9"/>
      <c r="D348" s="10"/>
      <c r="E348" s="10"/>
      <c r="F348" s="9"/>
      <c r="G348" s="9"/>
      <c r="H348" s="9"/>
      <c r="I348" s="10"/>
      <c r="J348" s="10"/>
    </row>
    <row r="349" customFormat="false" ht="15" hidden="false" customHeight="false" outlineLevel="0" collapsed="false">
      <c r="A349" s="9"/>
      <c r="B349" s="9"/>
      <c r="C349" s="9"/>
      <c r="D349" s="10"/>
      <c r="E349" s="10"/>
      <c r="F349" s="9"/>
      <c r="G349" s="9"/>
      <c r="H349" s="9"/>
      <c r="I349" s="10"/>
      <c r="J349" s="10"/>
    </row>
    <row r="350" customFormat="false" ht="15" hidden="false" customHeight="false" outlineLevel="0" collapsed="false">
      <c r="A350" s="9"/>
      <c r="B350" s="9"/>
      <c r="C350" s="9"/>
      <c r="D350" s="10"/>
      <c r="E350" s="10"/>
      <c r="F350" s="9"/>
      <c r="G350" s="9"/>
      <c r="H350" s="9"/>
      <c r="I350" s="10"/>
      <c r="J350" s="10"/>
    </row>
    <row r="351" customFormat="false" ht="15" hidden="false" customHeight="false" outlineLevel="0" collapsed="false">
      <c r="A351" s="9"/>
      <c r="B351" s="9"/>
      <c r="C351" s="9"/>
      <c r="D351" s="10"/>
      <c r="E351" s="10"/>
      <c r="F351" s="9"/>
      <c r="G351" s="9"/>
      <c r="H351" s="9"/>
      <c r="I351" s="10"/>
      <c r="J351" s="10"/>
    </row>
    <row r="352" customFormat="false" ht="15" hidden="false" customHeight="false" outlineLevel="0" collapsed="false">
      <c r="A352" s="9"/>
      <c r="B352" s="9"/>
      <c r="C352" s="9"/>
      <c r="D352" s="10"/>
      <c r="E352" s="10"/>
      <c r="F352" s="9"/>
      <c r="G352" s="9"/>
      <c r="H352" s="9"/>
      <c r="I352" s="10"/>
      <c r="J352" s="10"/>
    </row>
    <row r="353" customFormat="false" ht="15" hidden="false" customHeight="false" outlineLevel="0" collapsed="false">
      <c r="A353" s="9"/>
      <c r="B353" s="9"/>
      <c r="C353" s="9"/>
      <c r="D353" s="10"/>
      <c r="E353" s="10"/>
      <c r="F353" s="9"/>
      <c r="G353" s="9"/>
      <c r="H353" s="9"/>
      <c r="I353" s="10"/>
      <c r="J353" s="10"/>
    </row>
    <row r="354" customFormat="false" ht="15" hidden="false" customHeight="false" outlineLevel="0" collapsed="false">
      <c r="A354" s="9"/>
      <c r="B354" s="9"/>
      <c r="C354" s="9"/>
      <c r="D354" s="10"/>
      <c r="E354" s="10"/>
      <c r="F354" s="9"/>
      <c r="G354" s="9"/>
      <c r="H354" s="9"/>
      <c r="I354" s="10"/>
      <c r="J354" s="10"/>
    </row>
    <row r="355" customFormat="false" ht="15" hidden="false" customHeight="false" outlineLevel="0" collapsed="false">
      <c r="A355" s="9"/>
      <c r="B355" s="9"/>
      <c r="C355" s="9"/>
      <c r="D355" s="10"/>
      <c r="E355" s="10"/>
      <c r="F355" s="9"/>
      <c r="G355" s="9"/>
      <c r="H355" s="9"/>
      <c r="I355" s="10"/>
      <c r="J355" s="10"/>
    </row>
    <row r="356" customFormat="false" ht="15" hidden="false" customHeight="false" outlineLevel="0" collapsed="false">
      <c r="A356" s="9"/>
      <c r="B356" s="9"/>
      <c r="C356" s="9"/>
      <c r="D356" s="10"/>
      <c r="E356" s="10"/>
      <c r="F356" s="9"/>
      <c r="G356" s="9"/>
      <c r="H356" s="9"/>
      <c r="I356" s="10"/>
      <c r="J356" s="10"/>
    </row>
    <row r="357" customFormat="false" ht="15" hidden="false" customHeight="false" outlineLevel="0" collapsed="false">
      <c r="A357" s="9"/>
      <c r="B357" s="9"/>
      <c r="C357" s="9"/>
      <c r="D357" s="10"/>
      <c r="E357" s="10"/>
      <c r="F357" s="9"/>
      <c r="G357" s="9"/>
      <c r="H357" s="9"/>
      <c r="I357" s="10"/>
      <c r="J357" s="10"/>
    </row>
    <row r="358" customFormat="false" ht="15" hidden="false" customHeight="false" outlineLevel="0" collapsed="false">
      <c r="A358" s="9"/>
      <c r="B358" s="9"/>
      <c r="C358" s="9"/>
      <c r="D358" s="10"/>
      <c r="E358" s="10"/>
      <c r="F358" s="9"/>
      <c r="G358" s="9"/>
      <c r="H358" s="9"/>
      <c r="I358" s="10"/>
      <c r="J358" s="10"/>
    </row>
    <row r="359" customFormat="false" ht="15" hidden="false" customHeight="false" outlineLevel="0" collapsed="false">
      <c r="A359" s="9"/>
      <c r="B359" s="9"/>
      <c r="C359" s="9"/>
      <c r="D359" s="10"/>
      <c r="E359" s="10"/>
      <c r="F359" s="9"/>
      <c r="G359" s="9"/>
      <c r="H359" s="9"/>
      <c r="I359" s="10"/>
      <c r="J359" s="10"/>
    </row>
    <row r="360" customFormat="false" ht="15" hidden="false" customHeight="false" outlineLevel="0" collapsed="false">
      <c r="A360" s="9"/>
      <c r="B360" s="9"/>
      <c r="C360" s="9"/>
      <c r="D360" s="10"/>
      <c r="E360" s="10"/>
      <c r="F360" s="9"/>
      <c r="G360" s="9"/>
      <c r="H360" s="9"/>
      <c r="I360" s="10"/>
      <c r="J360" s="10"/>
    </row>
    <row r="361" customFormat="false" ht="15" hidden="false" customHeight="false" outlineLevel="0" collapsed="false">
      <c r="A361" s="9"/>
      <c r="B361" s="9"/>
      <c r="C361" s="9"/>
      <c r="D361" s="10"/>
      <c r="E361" s="10"/>
      <c r="F361" s="9"/>
      <c r="G361" s="9"/>
      <c r="H361" s="9"/>
      <c r="I361" s="10"/>
      <c r="J361" s="10"/>
    </row>
    <row r="362" customFormat="false" ht="15" hidden="false" customHeight="false" outlineLevel="0" collapsed="false">
      <c r="A362" s="9"/>
      <c r="B362" s="9"/>
      <c r="C362" s="9"/>
      <c r="D362" s="10"/>
      <c r="E362" s="10"/>
      <c r="F362" s="9"/>
      <c r="G362" s="9"/>
      <c r="H362" s="9"/>
      <c r="I362" s="10"/>
      <c r="J362" s="10"/>
    </row>
    <row r="363" customFormat="false" ht="15" hidden="false" customHeight="false" outlineLevel="0" collapsed="false">
      <c r="A363" s="9"/>
      <c r="B363" s="9"/>
      <c r="C363" s="9"/>
      <c r="D363" s="10"/>
      <c r="E363" s="10"/>
      <c r="F363" s="9"/>
      <c r="G363" s="9"/>
      <c r="H363" s="9"/>
      <c r="I363" s="10"/>
      <c r="J363" s="10"/>
    </row>
    <row r="364" customFormat="false" ht="15" hidden="false" customHeight="false" outlineLevel="0" collapsed="false">
      <c r="A364" s="9"/>
      <c r="B364" s="9"/>
      <c r="C364" s="9"/>
      <c r="D364" s="10"/>
      <c r="E364" s="10"/>
      <c r="F364" s="9"/>
      <c r="G364" s="9"/>
      <c r="H364" s="9"/>
      <c r="I364" s="10"/>
      <c r="J364" s="10"/>
    </row>
    <row r="365" customFormat="false" ht="15" hidden="false" customHeight="false" outlineLevel="0" collapsed="false">
      <c r="A365" s="9"/>
      <c r="B365" s="9"/>
      <c r="C365" s="9"/>
      <c r="D365" s="10"/>
      <c r="E365" s="10"/>
      <c r="F365" s="9"/>
      <c r="G365" s="9"/>
      <c r="H365" s="9"/>
      <c r="I365" s="10"/>
      <c r="J365" s="10"/>
    </row>
    <row r="366" customFormat="false" ht="15" hidden="false" customHeight="false" outlineLevel="0" collapsed="false">
      <c r="A366" s="9"/>
      <c r="B366" s="9"/>
      <c r="C366" s="9"/>
      <c r="D366" s="10"/>
      <c r="E366" s="10"/>
      <c r="F366" s="9"/>
      <c r="G366" s="9"/>
      <c r="H366" s="9"/>
      <c r="I366" s="10"/>
      <c r="J366" s="10"/>
    </row>
    <row r="367" customFormat="false" ht="15" hidden="false" customHeight="false" outlineLevel="0" collapsed="false">
      <c r="A367" s="9"/>
      <c r="B367" s="9"/>
      <c r="C367" s="9"/>
      <c r="D367" s="10"/>
      <c r="E367" s="10"/>
      <c r="F367" s="9"/>
      <c r="G367" s="9"/>
      <c r="H367" s="9"/>
      <c r="I367" s="10"/>
      <c r="J367" s="10"/>
    </row>
    <row r="368" customFormat="false" ht="15" hidden="false" customHeight="false" outlineLevel="0" collapsed="false">
      <c r="A368" s="9"/>
      <c r="B368" s="9"/>
      <c r="C368" s="9"/>
      <c r="D368" s="10"/>
      <c r="E368" s="10"/>
      <c r="F368" s="9"/>
      <c r="G368" s="9"/>
      <c r="H368" s="9"/>
      <c r="I368" s="10"/>
      <c r="J368" s="10"/>
    </row>
    <row r="369" customFormat="false" ht="15" hidden="false" customHeight="false" outlineLevel="0" collapsed="false">
      <c r="A369" s="9"/>
      <c r="B369" s="9"/>
      <c r="C369" s="9"/>
      <c r="D369" s="10"/>
      <c r="E369" s="10"/>
      <c r="F369" s="9"/>
      <c r="G369" s="9"/>
      <c r="H369" s="9"/>
      <c r="I369" s="10"/>
      <c r="J369" s="10"/>
    </row>
    <row r="370" customFormat="false" ht="15" hidden="false" customHeight="false" outlineLevel="0" collapsed="false">
      <c r="A370" s="9"/>
      <c r="B370" s="9"/>
      <c r="C370" s="9"/>
      <c r="D370" s="10"/>
      <c r="E370" s="10"/>
      <c r="F370" s="9"/>
      <c r="G370" s="9"/>
      <c r="H370" s="9"/>
      <c r="I370" s="10"/>
      <c r="J370" s="10"/>
    </row>
    <row r="371" customFormat="false" ht="15" hidden="false" customHeight="false" outlineLevel="0" collapsed="false">
      <c r="A371" s="9"/>
      <c r="B371" s="9"/>
      <c r="C371" s="9"/>
      <c r="D371" s="10"/>
      <c r="E371" s="10"/>
      <c r="F371" s="9"/>
      <c r="G371" s="9"/>
      <c r="H371" s="9"/>
      <c r="I371" s="10"/>
      <c r="J371" s="10"/>
    </row>
    <row r="372" customFormat="false" ht="15" hidden="false" customHeight="false" outlineLevel="0" collapsed="false">
      <c r="A372" s="9"/>
      <c r="B372" s="9"/>
      <c r="C372" s="9"/>
      <c r="D372" s="10"/>
      <c r="E372" s="10"/>
      <c r="F372" s="9"/>
      <c r="G372" s="9"/>
      <c r="H372" s="9"/>
      <c r="I372" s="10"/>
      <c r="J372" s="10"/>
    </row>
    <row r="373" customFormat="false" ht="15" hidden="false" customHeight="false" outlineLevel="0" collapsed="false">
      <c r="A373" s="9"/>
      <c r="B373" s="9"/>
      <c r="C373" s="9"/>
      <c r="D373" s="10"/>
      <c r="E373" s="10"/>
      <c r="F373" s="9"/>
      <c r="G373" s="9"/>
      <c r="H373" s="9"/>
      <c r="I373" s="10"/>
      <c r="J373" s="10"/>
    </row>
    <row r="374" customFormat="false" ht="15" hidden="false" customHeight="false" outlineLevel="0" collapsed="false">
      <c r="A374" s="9"/>
      <c r="B374" s="9"/>
      <c r="C374" s="9"/>
      <c r="D374" s="10"/>
      <c r="E374" s="10"/>
      <c r="F374" s="9"/>
      <c r="G374" s="9"/>
      <c r="H374" s="9"/>
      <c r="I374" s="10"/>
      <c r="J374" s="10"/>
    </row>
    <row r="375" customFormat="false" ht="15" hidden="false" customHeight="false" outlineLevel="0" collapsed="false">
      <c r="A375" s="9"/>
      <c r="B375" s="9"/>
      <c r="C375" s="9"/>
      <c r="D375" s="10"/>
      <c r="E375" s="10"/>
      <c r="F375" s="9"/>
      <c r="G375" s="9"/>
      <c r="H375" s="9"/>
      <c r="I375" s="10"/>
      <c r="J375" s="10"/>
    </row>
    <row r="376" customFormat="false" ht="15" hidden="false" customHeight="false" outlineLevel="0" collapsed="false">
      <c r="A376" s="9"/>
      <c r="B376" s="9"/>
      <c r="C376" s="9"/>
      <c r="D376" s="10"/>
      <c r="E376" s="10"/>
      <c r="F376" s="9"/>
      <c r="G376" s="9"/>
      <c r="H376" s="9"/>
      <c r="I376" s="10"/>
      <c r="J376" s="10"/>
    </row>
    <row r="377" customFormat="false" ht="15" hidden="false" customHeight="false" outlineLevel="0" collapsed="false">
      <c r="A377" s="9"/>
      <c r="B377" s="9"/>
      <c r="C377" s="9"/>
      <c r="D377" s="10"/>
      <c r="E377" s="10"/>
      <c r="F377" s="9"/>
      <c r="G377" s="9"/>
      <c r="H377" s="9"/>
      <c r="I377" s="10"/>
      <c r="J377" s="10"/>
    </row>
    <row r="378" customFormat="false" ht="15" hidden="false" customHeight="false" outlineLevel="0" collapsed="false">
      <c r="A378" s="9"/>
      <c r="B378" s="9"/>
      <c r="C378" s="9"/>
      <c r="D378" s="10"/>
      <c r="E378" s="10"/>
      <c r="F378" s="9"/>
      <c r="G378" s="9"/>
      <c r="H378" s="9"/>
      <c r="I378" s="10"/>
      <c r="J378" s="10"/>
    </row>
    <row r="379" customFormat="false" ht="15" hidden="false" customHeight="false" outlineLevel="0" collapsed="false">
      <c r="A379" s="9"/>
      <c r="B379" s="9"/>
      <c r="C379" s="9"/>
      <c r="D379" s="10"/>
      <c r="E379" s="10"/>
      <c r="F379" s="9"/>
      <c r="G379" s="9"/>
      <c r="H379" s="9"/>
      <c r="I379" s="10"/>
      <c r="J379" s="10"/>
    </row>
    <row r="380" customFormat="false" ht="15" hidden="false" customHeight="false" outlineLevel="0" collapsed="false">
      <c r="A380" s="9"/>
      <c r="B380" s="9"/>
      <c r="C380" s="9"/>
      <c r="D380" s="10"/>
      <c r="E380" s="10"/>
      <c r="F380" s="9"/>
      <c r="G380" s="9"/>
      <c r="H380" s="9"/>
      <c r="I380" s="10"/>
      <c r="J380" s="10"/>
    </row>
    <row r="381" customFormat="false" ht="15" hidden="false" customHeight="false" outlineLevel="0" collapsed="false">
      <c r="A381" s="9"/>
      <c r="B381" s="9"/>
      <c r="C381" s="9"/>
      <c r="D381" s="10"/>
      <c r="E381" s="10"/>
      <c r="F381" s="9"/>
      <c r="G381" s="9"/>
      <c r="H381" s="9"/>
      <c r="I381" s="10"/>
      <c r="J381" s="10"/>
    </row>
    <row r="382" customFormat="false" ht="15" hidden="false" customHeight="false" outlineLevel="0" collapsed="false">
      <c r="A382" s="9"/>
      <c r="B382" s="9"/>
      <c r="C382" s="9"/>
      <c r="D382" s="10"/>
      <c r="E382" s="10"/>
      <c r="F382" s="9"/>
      <c r="G382" s="9"/>
      <c r="H382" s="9"/>
      <c r="I382" s="10"/>
      <c r="J382" s="10"/>
    </row>
    <row r="383" customFormat="false" ht="15" hidden="false" customHeight="false" outlineLevel="0" collapsed="false">
      <c r="A383" s="9"/>
      <c r="B383" s="9"/>
      <c r="C383" s="9"/>
      <c r="D383" s="10"/>
      <c r="E383" s="10"/>
      <c r="F383" s="9"/>
      <c r="G383" s="9"/>
      <c r="H383" s="9"/>
      <c r="I383" s="10"/>
      <c r="J383" s="10"/>
    </row>
    <row r="384" customFormat="false" ht="15" hidden="false" customHeight="false" outlineLevel="0" collapsed="false">
      <c r="A384" s="9"/>
      <c r="B384" s="9"/>
      <c r="C384" s="9"/>
      <c r="D384" s="10"/>
      <c r="E384" s="10"/>
      <c r="F384" s="9"/>
      <c r="G384" s="9"/>
      <c r="H384" s="9"/>
      <c r="I384" s="10"/>
      <c r="J384" s="10"/>
    </row>
    <row r="385" customFormat="false" ht="15" hidden="false" customHeight="false" outlineLevel="0" collapsed="false">
      <c r="A385" s="9"/>
      <c r="B385" s="9"/>
      <c r="C385" s="9"/>
      <c r="D385" s="10"/>
      <c r="E385" s="10"/>
      <c r="F385" s="9"/>
      <c r="G385" s="9"/>
      <c r="H385" s="9"/>
      <c r="I385" s="10"/>
      <c r="J385" s="10"/>
    </row>
    <row r="386" customFormat="false" ht="15" hidden="false" customHeight="false" outlineLevel="0" collapsed="false">
      <c r="A386" s="9"/>
      <c r="B386" s="9"/>
      <c r="C386" s="9"/>
      <c r="D386" s="10"/>
      <c r="E386" s="10"/>
      <c r="F386" s="9"/>
      <c r="G386" s="9"/>
      <c r="H386" s="9"/>
      <c r="I386" s="10"/>
      <c r="J386" s="10"/>
    </row>
    <row r="387" customFormat="false" ht="15" hidden="false" customHeight="false" outlineLevel="0" collapsed="false">
      <c r="A387" s="9"/>
      <c r="B387" s="9"/>
      <c r="C387" s="9"/>
      <c r="D387" s="10"/>
      <c r="E387" s="10"/>
      <c r="F387" s="9"/>
      <c r="G387" s="9"/>
      <c r="H387" s="9"/>
      <c r="I387" s="10"/>
      <c r="J387" s="10"/>
    </row>
    <row r="388" customFormat="false" ht="15" hidden="false" customHeight="false" outlineLevel="0" collapsed="false">
      <c r="A388" s="9"/>
      <c r="B388" s="9"/>
      <c r="C388" s="9"/>
      <c r="D388" s="10"/>
      <c r="E388" s="10"/>
      <c r="F388" s="9"/>
      <c r="G388" s="9"/>
      <c r="H388" s="9"/>
      <c r="I388" s="10"/>
      <c r="J388" s="10"/>
    </row>
    <row r="389" customFormat="false" ht="15" hidden="false" customHeight="false" outlineLevel="0" collapsed="false">
      <c r="A389" s="9"/>
      <c r="B389" s="9"/>
      <c r="C389" s="9"/>
      <c r="D389" s="10"/>
      <c r="E389" s="10"/>
      <c r="F389" s="9"/>
      <c r="G389" s="9"/>
      <c r="H389" s="9"/>
      <c r="I389" s="10"/>
      <c r="J389" s="10"/>
    </row>
    <row r="390" customFormat="false" ht="15" hidden="false" customHeight="false" outlineLevel="0" collapsed="false">
      <c r="A390" s="9"/>
      <c r="B390" s="9"/>
      <c r="C390" s="9"/>
      <c r="D390" s="10"/>
      <c r="E390" s="10"/>
      <c r="F390" s="9"/>
      <c r="G390" s="9"/>
      <c r="H390" s="9"/>
      <c r="I390" s="10"/>
      <c r="J390" s="10"/>
    </row>
    <row r="391" customFormat="false" ht="15" hidden="false" customHeight="false" outlineLevel="0" collapsed="false">
      <c r="A391" s="9"/>
      <c r="B391" s="9"/>
      <c r="C391" s="9"/>
      <c r="D391" s="10"/>
      <c r="E391" s="10"/>
      <c r="F391" s="9"/>
      <c r="G391" s="9"/>
      <c r="H391" s="9"/>
      <c r="I391" s="10"/>
      <c r="J391" s="10"/>
    </row>
    <row r="392" customFormat="false" ht="15" hidden="false" customHeight="false" outlineLevel="0" collapsed="false">
      <c r="A392" s="9"/>
      <c r="B392" s="9"/>
      <c r="C392" s="9"/>
      <c r="D392" s="10"/>
      <c r="E392" s="10"/>
      <c r="F392" s="9"/>
      <c r="G392" s="9"/>
      <c r="H392" s="9"/>
      <c r="I392" s="10"/>
      <c r="J392" s="10"/>
    </row>
    <row r="393" customFormat="false" ht="15" hidden="false" customHeight="false" outlineLevel="0" collapsed="false">
      <c r="A393" s="9"/>
      <c r="B393" s="9"/>
      <c r="C393" s="9"/>
      <c r="D393" s="10"/>
      <c r="E393" s="10"/>
      <c r="F393" s="9"/>
      <c r="G393" s="9"/>
      <c r="H393" s="9"/>
      <c r="I393" s="10"/>
      <c r="J393" s="10"/>
    </row>
    <row r="394" customFormat="false" ht="15" hidden="false" customHeight="false" outlineLevel="0" collapsed="false">
      <c r="A394" s="9"/>
      <c r="B394" s="9"/>
      <c r="C394" s="9"/>
      <c r="D394" s="10"/>
      <c r="E394" s="10"/>
      <c r="F394" s="9"/>
      <c r="G394" s="9"/>
      <c r="H394" s="9"/>
      <c r="I394" s="10"/>
      <c r="J394" s="10"/>
    </row>
    <row r="395" customFormat="false" ht="15" hidden="false" customHeight="false" outlineLevel="0" collapsed="false">
      <c r="A395" s="9"/>
      <c r="B395" s="9"/>
      <c r="C395" s="9"/>
      <c r="D395" s="10"/>
      <c r="E395" s="10"/>
      <c r="F395" s="9"/>
      <c r="G395" s="9"/>
      <c r="H395" s="9"/>
      <c r="I395" s="10"/>
      <c r="J395" s="10"/>
    </row>
    <row r="396" customFormat="false" ht="15" hidden="false" customHeight="false" outlineLevel="0" collapsed="false">
      <c r="A396" s="9"/>
      <c r="B396" s="9"/>
      <c r="C396" s="9"/>
      <c r="D396" s="10"/>
      <c r="E396" s="10"/>
      <c r="F396" s="9"/>
      <c r="G396" s="9"/>
      <c r="H396" s="9"/>
      <c r="I396" s="10"/>
      <c r="J396" s="10"/>
    </row>
    <row r="397" customFormat="false" ht="15" hidden="false" customHeight="false" outlineLevel="0" collapsed="false">
      <c r="A397" s="9"/>
      <c r="B397" s="9"/>
      <c r="C397" s="9"/>
      <c r="D397" s="10"/>
      <c r="E397" s="10"/>
      <c r="F397" s="9"/>
      <c r="G397" s="9"/>
      <c r="H397" s="9"/>
      <c r="I397" s="10"/>
      <c r="J397" s="10"/>
    </row>
    <row r="398" customFormat="false" ht="15" hidden="false" customHeight="false" outlineLevel="0" collapsed="false">
      <c r="A398" s="9"/>
      <c r="B398" s="9"/>
      <c r="C398" s="9"/>
      <c r="D398" s="10"/>
      <c r="E398" s="10"/>
      <c r="F398" s="9"/>
      <c r="G398" s="9"/>
      <c r="H398" s="9"/>
      <c r="I398" s="10"/>
      <c r="J398" s="10"/>
    </row>
    <row r="399" customFormat="false" ht="15" hidden="false" customHeight="false" outlineLevel="0" collapsed="false">
      <c r="A399" s="9"/>
      <c r="B399" s="9"/>
      <c r="C399" s="9"/>
      <c r="D399" s="10"/>
      <c r="E399" s="10"/>
      <c r="F399" s="9"/>
      <c r="G399" s="9"/>
      <c r="H399" s="9"/>
      <c r="I399" s="10"/>
      <c r="J399" s="10"/>
    </row>
    <row r="400" customFormat="false" ht="15" hidden="false" customHeight="false" outlineLevel="0" collapsed="false">
      <c r="A400" s="9"/>
      <c r="B400" s="9"/>
      <c r="C400" s="9"/>
      <c r="D400" s="10"/>
      <c r="E400" s="10"/>
      <c r="F400" s="9"/>
      <c r="G400" s="9"/>
      <c r="H400" s="9"/>
      <c r="I400" s="10"/>
      <c r="J400" s="10"/>
    </row>
    <row r="401" customFormat="false" ht="15" hidden="false" customHeight="false" outlineLevel="0" collapsed="false">
      <c r="A401" s="9"/>
      <c r="B401" s="9"/>
      <c r="C401" s="9"/>
      <c r="D401" s="10"/>
      <c r="E401" s="10"/>
      <c r="F401" s="9"/>
      <c r="G401" s="9"/>
      <c r="H401" s="9"/>
      <c r="I401" s="10"/>
      <c r="J401" s="10"/>
    </row>
    <row r="402" customFormat="false" ht="15" hidden="false" customHeight="false" outlineLevel="0" collapsed="false">
      <c r="A402" s="9"/>
      <c r="B402" s="9"/>
      <c r="C402" s="9"/>
      <c r="D402" s="10"/>
      <c r="E402" s="10"/>
      <c r="F402" s="9"/>
      <c r="G402" s="9"/>
      <c r="H402" s="9"/>
      <c r="I402" s="10"/>
      <c r="J402" s="10"/>
    </row>
    <row r="403" customFormat="false" ht="15" hidden="false" customHeight="false" outlineLevel="0" collapsed="false">
      <c r="A403" s="9"/>
      <c r="B403" s="9"/>
      <c r="C403" s="9"/>
      <c r="D403" s="10"/>
      <c r="E403" s="10"/>
      <c r="F403" s="9"/>
      <c r="G403" s="9"/>
      <c r="H403" s="9"/>
      <c r="I403" s="10"/>
      <c r="J403" s="10"/>
    </row>
    <row r="404" customFormat="false" ht="15" hidden="false" customHeight="false" outlineLevel="0" collapsed="false">
      <c r="A404" s="9"/>
      <c r="B404" s="9"/>
      <c r="C404" s="9"/>
      <c r="D404" s="10"/>
      <c r="E404" s="10"/>
      <c r="F404" s="9"/>
      <c r="G404" s="9"/>
      <c r="H404" s="9"/>
      <c r="I404" s="10"/>
      <c r="J404" s="10"/>
    </row>
    <row r="405" customFormat="false" ht="15" hidden="false" customHeight="false" outlineLevel="0" collapsed="false">
      <c r="A405" s="9"/>
      <c r="B405" s="9"/>
      <c r="C405" s="9"/>
      <c r="D405" s="10"/>
      <c r="E405" s="10"/>
      <c r="F405" s="9"/>
      <c r="G405" s="9"/>
      <c r="H405" s="9"/>
      <c r="I405" s="10"/>
      <c r="J405" s="10"/>
    </row>
    <row r="406" customFormat="false" ht="15" hidden="false" customHeight="false" outlineLevel="0" collapsed="false">
      <c r="A406" s="9"/>
      <c r="B406" s="9"/>
      <c r="C406" s="9"/>
      <c r="D406" s="10"/>
      <c r="E406" s="10"/>
      <c r="F406" s="9"/>
      <c r="G406" s="9"/>
      <c r="H406" s="9"/>
      <c r="I406" s="10"/>
      <c r="J406" s="10"/>
    </row>
    <row r="407" customFormat="false" ht="15" hidden="false" customHeight="false" outlineLevel="0" collapsed="false">
      <c r="A407" s="9"/>
      <c r="B407" s="9"/>
      <c r="C407" s="9"/>
      <c r="D407" s="10"/>
      <c r="E407" s="10"/>
      <c r="F407" s="9"/>
      <c r="G407" s="9"/>
      <c r="H407" s="9"/>
      <c r="I407" s="10"/>
      <c r="J407" s="10"/>
    </row>
    <row r="408" customFormat="false" ht="15" hidden="false" customHeight="false" outlineLevel="0" collapsed="false">
      <c r="A408" s="9"/>
      <c r="B408" s="9"/>
      <c r="C408" s="9"/>
      <c r="D408" s="10"/>
      <c r="E408" s="10"/>
      <c r="F408" s="9"/>
      <c r="G408" s="9"/>
      <c r="H408" s="9"/>
      <c r="I408" s="10"/>
      <c r="J408" s="10"/>
    </row>
    <row r="409" customFormat="false" ht="15" hidden="false" customHeight="false" outlineLevel="0" collapsed="false">
      <c r="A409" s="9"/>
      <c r="B409" s="9"/>
      <c r="C409" s="9"/>
      <c r="D409" s="10"/>
      <c r="E409" s="10"/>
      <c r="F409" s="9"/>
      <c r="G409" s="9"/>
      <c r="H409" s="9"/>
      <c r="I409" s="10"/>
      <c r="J409" s="10"/>
    </row>
    <row r="410" customFormat="false" ht="15" hidden="false" customHeight="false" outlineLevel="0" collapsed="false">
      <c r="A410" s="9"/>
      <c r="B410" s="9"/>
      <c r="C410" s="9"/>
      <c r="D410" s="10"/>
      <c r="E410" s="10"/>
      <c r="F410" s="9"/>
      <c r="G410" s="9"/>
      <c r="H410" s="9"/>
      <c r="I410" s="10"/>
      <c r="J410" s="10"/>
    </row>
    <row r="411" customFormat="false" ht="15" hidden="false" customHeight="false" outlineLevel="0" collapsed="false">
      <c r="A411" s="9"/>
      <c r="B411" s="9"/>
      <c r="C411" s="9"/>
      <c r="D411" s="10"/>
      <c r="E411" s="10"/>
      <c r="F411" s="9"/>
      <c r="G411" s="9"/>
      <c r="H411" s="9"/>
      <c r="I411" s="10"/>
      <c r="J411" s="10"/>
    </row>
    <row r="412" customFormat="false" ht="15" hidden="false" customHeight="false" outlineLevel="0" collapsed="false">
      <c r="A412" s="9"/>
      <c r="B412" s="9"/>
      <c r="C412" s="9"/>
      <c r="D412" s="10"/>
      <c r="E412" s="10"/>
      <c r="F412" s="9"/>
      <c r="G412" s="9"/>
      <c r="H412" s="9"/>
      <c r="I412" s="10"/>
      <c r="J412" s="10"/>
    </row>
    <row r="413" customFormat="false" ht="15" hidden="false" customHeight="false" outlineLevel="0" collapsed="false">
      <c r="A413" s="9"/>
      <c r="B413" s="9"/>
      <c r="C413" s="9"/>
      <c r="D413" s="10"/>
      <c r="E413" s="10"/>
      <c r="F413" s="9"/>
      <c r="G413" s="9"/>
      <c r="H413" s="9"/>
      <c r="I413" s="10"/>
      <c r="J413" s="10"/>
    </row>
    <row r="414" customFormat="false" ht="15" hidden="false" customHeight="false" outlineLevel="0" collapsed="false">
      <c r="A414" s="9"/>
      <c r="B414" s="9"/>
      <c r="C414" s="9"/>
      <c r="D414" s="10"/>
      <c r="E414" s="10"/>
      <c r="F414" s="9"/>
      <c r="G414" s="9"/>
      <c r="H414" s="9"/>
      <c r="I414" s="10"/>
      <c r="J414" s="10"/>
    </row>
    <row r="415" customFormat="false" ht="15" hidden="false" customHeight="false" outlineLevel="0" collapsed="false">
      <c r="A415" s="9"/>
      <c r="B415" s="9"/>
      <c r="C415" s="9"/>
      <c r="D415" s="10"/>
      <c r="E415" s="10"/>
      <c r="F415" s="9"/>
      <c r="G415" s="9"/>
      <c r="H415" s="9"/>
      <c r="I415" s="10"/>
      <c r="J415" s="10"/>
    </row>
    <row r="416" customFormat="false" ht="15" hidden="false" customHeight="false" outlineLevel="0" collapsed="false">
      <c r="A416" s="9"/>
      <c r="B416" s="9"/>
      <c r="C416" s="9"/>
      <c r="D416" s="10"/>
      <c r="E416" s="10"/>
      <c r="F416" s="9"/>
      <c r="G416" s="9"/>
      <c r="H416" s="9"/>
      <c r="I416" s="10"/>
      <c r="J416" s="10"/>
    </row>
    <row r="417" customFormat="false" ht="15" hidden="false" customHeight="false" outlineLevel="0" collapsed="false">
      <c r="A417" s="9"/>
      <c r="B417" s="9"/>
      <c r="C417" s="9"/>
      <c r="D417" s="10"/>
      <c r="E417" s="10"/>
      <c r="F417" s="9"/>
      <c r="G417" s="9"/>
      <c r="H417" s="9"/>
      <c r="I417" s="10"/>
      <c r="J417" s="10"/>
    </row>
    <row r="418" customFormat="false" ht="15" hidden="false" customHeight="false" outlineLevel="0" collapsed="false">
      <c r="A418" s="9"/>
      <c r="B418" s="9"/>
      <c r="C418" s="9"/>
      <c r="D418" s="10"/>
      <c r="E418" s="10"/>
      <c r="F418" s="9"/>
      <c r="G418" s="9"/>
      <c r="H418" s="9"/>
      <c r="I418" s="10"/>
      <c r="J418" s="10"/>
    </row>
    <row r="419" customFormat="false" ht="15" hidden="false" customHeight="false" outlineLevel="0" collapsed="false">
      <c r="A419" s="9"/>
      <c r="B419" s="9"/>
      <c r="C419" s="9"/>
      <c r="D419" s="10"/>
      <c r="E419" s="10"/>
      <c r="F419" s="9"/>
      <c r="G419" s="9"/>
      <c r="H419" s="9"/>
      <c r="I419" s="10"/>
      <c r="J419" s="10"/>
    </row>
    <row r="420" customFormat="false" ht="15" hidden="false" customHeight="false" outlineLevel="0" collapsed="false">
      <c r="A420" s="9"/>
      <c r="B420" s="9"/>
      <c r="C420" s="9"/>
      <c r="D420" s="10"/>
      <c r="E420" s="10"/>
      <c r="F420" s="9"/>
      <c r="G420" s="9"/>
      <c r="H420" s="9"/>
      <c r="I420" s="10"/>
      <c r="J420" s="10"/>
    </row>
    <row r="421" customFormat="false" ht="15" hidden="false" customHeight="false" outlineLevel="0" collapsed="false">
      <c r="A421" s="9"/>
      <c r="B421" s="9"/>
      <c r="C421" s="9"/>
      <c r="D421" s="10"/>
      <c r="E421" s="10"/>
      <c r="F421" s="9"/>
      <c r="G421" s="9"/>
      <c r="H421" s="9"/>
      <c r="I421" s="10"/>
      <c r="J421" s="10"/>
    </row>
    <row r="422" customFormat="false" ht="15" hidden="false" customHeight="false" outlineLevel="0" collapsed="false">
      <c r="A422" s="9"/>
      <c r="B422" s="9"/>
      <c r="C422" s="9"/>
      <c r="D422" s="10"/>
      <c r="E422" s="10"/>
      <c r="F422" s="9"/>
      <c r="G422" s="9"/>
      <c r="H422" s="9"/>
      <c r="I422" s="10"/>
      <c r="J422" s="10"/>
    </row>
    <row r="423" customFormat="false" ht="15" hidden="false" customHeight="false" outlineLevel="0" collapsed="false">
      <c r="A423" s="9"/>
      <c r="B423" s="9"/>
      <c r="C423" s="9"/>
      <c r="D423" s="10"/>
      <c r="E423" s="10"/>
      <c r="F423" s="9"/>
      <c r="G423" s="9"/>
      <c r="H423" s="9"/>
      <c r="I423" s="10"/>
      <c r="J423" s="10"/>
    </row>
    <row r="424" customFormat="false" ht="15" hidden="false" customHeight="false" outlineLevel="0" collapsed="false">
      <c r="A424" s="9"/>
      <c r="B424" s="9"/>
      <c r="C424" s="9"/>
      <c r="D424" s="10"/>
      <c r="E424" s="10"/>
      <c r="F424" s="9"/>
      <c r="G424" s="9"/>
      <c r="H424" s="9"/>
      <c r="I424" s="10"/>
      <c r="J424" s="10"/>
    </row>
    <row r="425" customFormat="false" ht="15" hidden="false" customHeight="false" outlineLevel="0" collapsed="false">
      <c r="A425" s="9"/>
      <c r="B425" s="9"/>
      <c r="C425" s="9"/>
      <c r="D425" s="10"/>
      <c r="E425" s="10"/>
      <c r="F425" s="9"/>
      <c r="G425" s="9"/>
      <c r="H425" s="9"/>
      <c r="I425" s="10"/>
      <c r="J425" s="10"/>
    </row>
    <row r="426" customFormat="false" ht="15" hidden="false" customHeight="false" outlineLevel="0" collapsed="false">
      <c r="A426" s="9"/>
      <c r="B426" s="9"/>
      <c r="C426" s="9"/>
      <c r="D426" s="10"/>
      <c r="E426" s="10"/>
      <c r="F426" s="9"/>
      <c r="G426" s="9"/>
      <c r="H426" s="9"/>
      <c r="I426" s="10"/>
      <c r="J426" s="10"/>
    </row>
    <row r="427" customFormat="false" ht="15" hidden="false" customHeight="false" outlineLevel="0" collapsed="false">
      <c r="A427" s="9"/>
      <c r="B427" s="9"/>
      <c r="C427" s="9"/>
      <c r="D427" s="10"/>
      <c r="E427" s="10"/>
      <c r="F427" s="9"/>
      <c r="G427" s="9"/>
      <c r="H427" s="9"/>
      <c r="I427" s="10"/>
      <c r="J427" s="10"/>
    </row>
    <row r="428" customFormat="false" ht="15" hidden="false" customHeight="false" outlineLevel="0" collapsed="false">
      <c r="A428" s="9"/>
      <c r="B428" s="9"/>
      <c r="C428" s="9"/>
      <c r="D428" s="10"/>
      <c r="E428" s="10"/>
      <c r="F428" s="9"/>
      <c r="G428" s="9"/>
      <c r="H428" s="9"/>
      <c r="I428" s="10"/>
      <c r="J428" s="10"/>
    </row>
    <row r="429" customFormat="false" ht="15" hidden="false" customHeight="false" outlineLevel="0" collapsed="false">
      <c r="A429" s="9"/>
      <c r="B429" s="9"/>
      <c r="C429" s="9"/>
      <c r="D429" s="10"/>
      <c r="E429" s="10"/>
      <c r="F429" s="9"/>
      <c r="G429" s="9"/>
      <c r="H429" s="9"/>
      <c r="I429" s="10"/>
      <c r="J429" s="10"/>
    </row>
    <row r="430" customFormat="false" ht="15" hidden="false" customHeight="false" outlineLevel="0" collapsed="false">
      <c r="A430" s="9"/>
      <c r="B430" s="9"/>
      <c r="C430" s="9"/>
      <c r="D430" s="10"/>
      <c r="E430" s="10"/>
      <c r="F430" s="9"/>
      <c r="G430" s="9"/>
      <c r="H430" s="9"/>
      <c r="I430" s="10"/>
      <c r="J430" s="10"/>
    </row>
    <row r="431" customFormat="false" ht="15" hidden="false" customHeight="false" outlineLevel="0" collapsed="false">
      <c r="A431" s="9"/>
      <c r="B431" s="9"/>
      <c r="C431" s="9"/>
      <c r="D431" s="10"/>
      <c r="E431" s="10"/>
      <c r="F431" s="9"/>
      <c r="G431" s="9"/>
      <c r="H431" s="9"/>
      <c r="I431" s="10"/>
      <c r="J431" s="10"/>
    </row>
    <row r="432" customFormat="false" ht="15" hidden="false" customHeight="false" outlineLevel="0" collapsed="false">
      <c r="A432" s="9"/>
      <c r="B432" s="9"/>
      <c r="C432" s="9"/>
      <c r="D432" s="10"/>
      <c r="E432" s="10"/>
      <c r="F432" s="9"/>
      <c r="G432" s="9"/>
      <c r="H432" s="9"/>
      <c r="I432" s="10"/>
      <c r="J432" s="10"/>
    </row>
    <row r="433" customFormat="false" ht="15" hidden="false" customHeight="false" outlineLevel="0" collapsed="false">
      <c r="A433" s="9"/>
      <c r="B433" s="9"/>
      <c r="C433" s="9"/>
      <c r="D433" s="10"/>
      <c r="E433" s="10"/>
      <c r="F433" s="9"/>
      <c r="G433" s="9"/>
      <c r="H433" s="9"/>
      <c r="I433" s="10"/>
      <c r="J433" s="10"/>
    </row>
    <row r="434" customFormat="false" ht="15" hidden="false" customHeight="false" outlineLevel="0" collapsed="false">
      <c r="A434" s="9"/>
      <c r="B434" s="9"/>
      <c r="C434" s="9"/>
      <c r="D434" s="10"/>
      <c r="E434" s="10"/>
      <c r="F434" s="9"/>
      <c r="G434" s="9"/>
      <c r="H434" s="9"/>
      <c r="I434" s="10"/>
      <c r="J434" s="10"/>
    </row>
    <row r="435" customFormat="false" ht="15" hidden="false" customHeight="false" outlineLevel="0" collapsed="false">
      <c r="A435" s="9"/>
      <c r="B435" s="9"/>
      <c r="C435" s="9"/>
      <c r="D435" s="10"/>
      <c r="E435" s="10"/>
      <c r="F435" s="9"/>
      <c r="G435" s="9"/>
      <c r="H435" s="9"/>
      <c r="I435" s="10"/>
      <c r="J435" s="10"/>
    </row>
    <row r="436" customFormat="false" ht="15" hidden="false" customHeight="false" outlineLevel="0" collapsed="false">
      <c r="A436" s="9"/>
      <c r="B436" s="9"/>
      <c r="C436" s="9"/>
      <c r="D436" s="10"/>
      <c r="E436" s="10"/>
      <c r="F436" s="9"/>
      <c r="G436" s="9"/>
      <c r="H436" s="9"/>
      <c r="I436" s="10"/>
      <c r="J436" s="10"/>
    </row>
    <row r="437" customFormat="false" ht="15" hidden="false" customHeight="false" outlineLevel="0" collapsed="false">
      <c r="A437" s="9"/>
      <c r="B437" s="9"/>
      <c r="C437" s="9"/>
      <c r="D437" s="10"/>
      <c r="E437" s="10"/>
      <c r="F437" s="9"/>
      <c r="G437" s="9"/>
      <c r="H437" s="9"/>
      <c r="I437" s="10"/>
      <c r="J437" s="10"/>
    </row>
    <row r="438" customFormat="false" ht="15" hidden="false" customHeight="false" outlineLevel="0" collapsed="false">
      <c r="A438" s="9"/>
      <c r="B438" s="9"/>
      <c r="C438" s="9"/>
      <c r="D438" s="10"/>
      <c r="E438" s="10"/>
      <c r="F438" s="9"/>
      <c r="G438" s="9"/>
      <c r="H438" s="9"/>
      <c r="I438" s="10"/>
      <c r="J438" s="10"/>
    </row>
    <row r="439" customFormat="false" ht="15" hidden="false" customHeight="false" outlineLevel="0" collapsed="false">
      <c r="A439" s="9"/>
      <c r="B439" s="9"/>
      <c r="C439" s="9"/>
      <c r="D439" s="10"/>
      <c r="E439" s="10"/>
      <c r="F439" s="9"/>
      <c r="G439" s="9"/>
      <c r="H439" s="9"/>
      <c r="I439" s="10"/>
      <c r="J439" s="10"/>
    </row>
    <row r="440" customFormat="false" ht="15" hidden="false" customHeight="false" outlineLevel="0" collapsed="false">
      <c r="A440" s="9"/>
      <c r="B440" s="9"/>
      <c r="C440" s="9"/>
      <c r="D440" s="10"/>
      <c r="E440" s="10"/>
      <c r="F440" s="9"/>
      <c r="G440" s="9"/>
      <c r="H440" s="9"/>
      <c r="I440" s="10"/>
      <c r="J440" s="10"/>
    </row>
    <row r="441" customFormat="false" ht="15" hidden="false" customHeight="false" outlineLevel="0" collapsed="false">
      <c r="A441" s="9"/>
      <c r="B441" s="9"/>
      <c r="C441" s="9"/>
      <c r="D441" s="10"/>
      <c r="E441" s="10"/>
      <c r="F441" s="9"/>
      <c r="G441" s="9"/>
      <c r="H441" s="9"/>
      <c r="I441" s="10"/>
      <c r="J441" s="10"/>
    </row>
    <row r="442" customFormat="false" ht="15" hidden="false" customHeight="false" outlineLevel="0" collapsed="false">
      <c r="A442" s="9"/>
      <c r="B442" s="9"/>
      <c r="C442" s="9"/>
      <c r="D442" s="10"/>
      <c r="E442" s="10"/>
      <c r="F442" s="9"/>
      <c r="G442" s="9"/>
      <c r="H442" s="9"/>
      <c r="I442" s="10"/>
      <c r="J442" s="10"/>
    </row>
    <row r="443" customFormat="false" ht="15" hidden="false" customHeight="false" outlineLevel="0" collapsed="false">
      <c r="A443" s="9"/>
      <c r="B443" s="9"/>
      <c r="C443" s="9"/>
      <c r="D443" s="10"/>
      <c r="E443" s="10"/>
      <c r="F443" s="9"/>
      <c r="G443" s="9"/>
      <c r="H443" s="9"/>
      <c r="I443" s="10"/>
      <c r="J443" s="10"/>
    </row>
    <row r="444" customFormat="false" ht="15" hidden="false" customHeight="false" outlineLevel="0" collapsed="false">
      <c r="A444" s="9"/>
      <c r="B444" s="9"/>
      <c r="C444" s="9"/>
      <c r="D444" s="10"/>
      <c r="E444" s="10"/>
      <c r="F444" s="9"/>
      <c r="G444" s="9"/>
      <c r="H444" s="9"/>
      <c r="I444" s="10"/>
      <c r="J444" s="10"/>
    </row>
    <row r="445" customFormat="false" ht="15" hidden="false" customHeight="false" outlineLevel="0" collapsed="false">
      <c r="A445" s="9"/>
      <c r="B445" s="9"/>
      <c r="C445" s="9"/>
      <c r="D445" s="10"/>
      <c r="E445" s="10"/>
      <c r="F445" s="9"/>
      <c r="G445" s="9"/>
      <c r="H445" s="9"/>
      <c r="I445" s="10"/>
      <c r="J445" s="10"/>
    </row>
    <row r="446" customFormat="false" ht="15" hidden="false" customHeight="false" outlineLevel="0" collapsed="false">
      <c r="A446" s="9"/>
      <c r="B446" s="9"/>
      <c r="C446" s="9"/>
      <c r="D446" s="10"/>
      <c r="E446" s="10"/>
      <c r="F446" s="9"/>
      <c r="G446" s="9"/>
      <c r="H446" s="9"/>
      <c r="I446" s="10"/>
      <c r="J446" s="10"/>
    </row>
    <row r="447" customFormat="false" ht="15" hidden="false" customHeight="false" outlineLevel="0" collapsed="false">
      <c r="A447" s="9"/>
      <c r="B447" s="9"/>
      <c r="C447" s="9"/>
      <c r="D447" s="10"/>
      <c r="E447" s="10"/>
      <c r="F447" s="9"/>
      <c r="G447" s="9"/>
      <c r="H447" s="9"/>
      <c r="I447" s="10"/>
      <c r="J447" s="10"/>
    </row>
    <row r="448" customFormat="false" ht="15" hidden="false" customHeight="false" outlineLevel="0" collapsed="false">
      <c r="A448" s="9"/>
      <c r="B448" s="9"/>
      <c r="C448" s="9"/>
      <c r="D448" s="10"/>
      <c r="E448" s="10"/>
      <c r="F448" s="9"/>
      <c r="G448" s="9"/>
      <c r="H448" s="9"/>
      <c r="I448" s="10"/>
      <c r="J448" s="10"/>
    </row>
    <row r="449" customFormat="false" ht="15" hidden="false" customHeight="false" outlineLevel="0" collapsed="false">
      <c r="A449" s="9"/>
      <c r="B449" s="9"/>
      <c r="C449" s="9"/>
      <c r="D449" s="10"/>
      <c r="E449" s="10"/>
      <c r="F449" s="9"/>
      <c r="G449" s="9"/>
      <c r="H449" s="9"/>
      <c r="I449" s="10"/>
      <c r="J449" s="10"/>
    </row>
    <row r="450" customFormat="false" ht="15" hidden="false" customHeight="false" outlineLevel="0" collapsed="false">
      <c r="A450" s="9"/>
      <c r="B450" s="9"/>
      <c r="C450" s="9"/>
      <c r="D450" s="10"/>
      <c r="E450" s="10"/>
      <c r="F450" s="9"/>
      <c r="G450" s="9"/>
      <c r="H450" s="9"/>
      <c r="I450" s="10"/>
      <c r="J450" s="10"/>
    </row>
    <row r="451" customFormat="false" ht="15" hidden="false" customHeight="false" outlineLevel="0" collapsed="false">
      <c r="A451" s="9"/>
      <c r="B451" s="9"/>
      <c r="C451" s="9"/>
      <c r="D451" s="10"/>
      <c r="E451" s="10"/>
      <c r="F451" s="9"/>
      <c r="G451" s="9"/>
      <c r="H451" s="9"/>
      <c r="I451" s="10"/>
      <c r="J451" s="10"/>
    </row>
    <row r="452" customFormat="false" ht="15" hidden="false" customHeight="false" outlineLevel="0" collapsed="false">
      <c r="A452" s="9"/>
      <c r="B452" s="9"/>
      <c r="C452" s="9"/>
      <c r="D452" s="10"/>
      <c r="E452" s="10"/>
      <c r="F452" s="9"/>
      <c r="G452" s="9"/>
      <c r="H452" s="9"/>
      <c r="I452" s="10"/>
      <c r="J452" s="10"/>
    </row>
    <row r="453" customFormat="false" ht="15" hidden="false" customHeight="false" outlineLevel="0" collapsed="false">
      <c r="A453" s="9"/>
      <c r="B453" s="9"/>
      <c r="C453" s="9"/>
      <c r="D453" s="10"/>
      <c r="E453" s="10"/>
      <c r="F453" s="9"/>
      <c r="G453" s="9"/>
      <c r="H453" s="9"/>
      <c r="I453" s="10"/>
      <c r="J453" s="10"/>
    </row>
    <row r="454" customFormat="false" ht="15" hidden="false" customHeight="false" outlineLevel="0" collapsed="false">
      <c r="A454" s="9"/>
      <c r="B454" s="9"/>
      <c r="C454" s="9"/>
      <c r="D454" s="10"/>
      <c r="E454" s="10"/>
      <c r="F454" s="9"/>
      <c r="G454" s="9"/>
      <c r="H454" s="9"/>
      <c r="I454" s="10"/>
      <c r="J454" s="10"/>
    </row>
    <row r="455" customFormat="false" ht="15" hidden="false" customHeight="false" outlineLevel="0" collapsed="false">
      <c r="A455" s="9"/>
      <c r="B455" s="9"/>
      <c r="C455" s="9"/>
      <c r="D455" s="10"/>
      <c r="E455" s="10"/>
      <c r="F455" s="9"/>
      <c r="G455" s="9"/>
      <c r="H455" s="9"/>
      <c r="I455" s="10"/>
      <c r="J455" s="10"/>
    </row>
    <row r="456" customFormat="false" ht="15" hidden="false" customHeight="false" outlineLevel="0" collapsed="false">
      <c r="A456" s="9"/>
      <c r="B456" s="9"/>
      <c r="C456" s="9"/>
      <c r="D456" s="10"/>
      <c r="E456" s="10"/>
      <c r="F456" s="9"/>
      <c r="G456" s="9"/>
      <c r="H456" s="9"/>
      <c r="I456" s="10"/>
      <c r="J456" s="10"/>
    </row>
    <row r="457" customFormat="false" ht="15" hidden="false" customHeight="false" outlineLevel="0" collapsed="false">
      <c r="A457" s="9"/>
      <c r="B457" s="9"/>
      <c r="C457" s="9"/>
      <c r="D457" s="10"/>
      <c r="E457" s="10"/>
      <c r="F457" s="9"/>
      <c r="G457" s="9"/>
      <c r="H457" s="9"/>
      <c r="I457" s="10"/>
      <c r="J457" s="10"/>
    </row>
    <row r="458" customFormat="false" ht="15" hidden="false" customHeight="false" outlineLevel="0" collapsed="false">
      <c r="A458" s="9"/>
      <c r="B458" s="9"/>
      <c r="C458" s="9"/>
      <c r="D458" s="10"/>
      <c r="E458" s="10"/>
      <c r="F458" s="9"/>
      <c r="G458" s="9"/>
      <c r="H458" s="9"/>
      <c r="I458" s="10"/>
      <c r="J458" s="10"/>
    </row>
    <row r="459" customFormat="false" ht="15" hidden="false" customHeight="false" outlineLevel="0" collapsed="false">
      <c r="A459" s="9"/>
      <c r="B459" s="9"/>
      <c r="C459" s="9"/>
      <c r="D459" s="10"/>
      <c r="E459" s="10"/>
      <c r="F459" s="9"/>
      <c r="G459" s="9"/>
      <c r="H459" s="9"/>
      <c r="I459" s="10"/>
      <c r="J459" s="10"/>
    </row>
    <row r="460" customFormat="false" ht="15" hidden="false" customHeight="false" outlineLevel="0" collapsed="false">
      <c r="A460" s="9"/>
      <c r="B460" s="9"/>
      <c r="C460" s="9"/>
      <c r="D460" s="10"/>
      <c r="E460" s="10"/>
      <c r="F460" s="9"/>
      <c r="G460" s="9"/>
      <c r="H460" s="9"/>
      <c r="I460" s="10"/>
      <c r="J460" s="10"/>
    </row>
    <row r="461" customFormat="false" ht="15" hidden="false" customHeight="false" outlineLevel="0" collapsed="false">
      <c r="A461" s="9"/>
      <c r="B461" s="9"/>
      <c r="C461" s="9"/>
      <c r="D461" s="10"/>
      <c r="E461" s="10"/>
      <c r="F461" s="9"/>
      <c r="G461" s="9"/>
      <c r="H461" s="9"/>
      <c r="I461" s="10"/>
      <c r="J461" s="10"/>
    </row>
    <row r="462" customFormat="false" ht="15" hidden="false" customHeight="false" outlineLevel="0" collapsed="false">
      <c r="A462" s="9"/>
      <c r="B462" s="9"/>
      <c r="C462" s="9"/>
      <c r="D462" s="10"/>
      <c r="E462" s="10"/>
      <c r="F462" s="9"/>
      <c r="G462" s="9"/>
      <c r="H462" s="9"/>
      <c r="I462" s="10"/>
      <c r="J462" s="10"/>
    </row>
    <row r="463" customFormat="false" ht="15" hidden="false" customHeight="false" outlineLevel="0" collapsed="false">
      <c r="A463" s="9"/>
      <c r="B463" s="9"/>
      <c r="C463" s="9"/>
      <c r="D463" s="10"/>
      <c r="E463" s="10"/>
      <c r="F463" s="9"/>
      <c r="G463" s="9"/>
      <c r="H463" s="9"/>
      <c r="I463" s="10"/>
      <c r="J463" s="10"/>
    </row>
    <row r="464" customFormat="false" ht="15" hidden="false" customHeight="false" outlineLevel="0" collapsed="false">
      <c r="A464" s="9"/>
      <c r="B464" s="9"/>
      <c r="C464" s="9"/>
      <c r="D464" s="10"/>
      <c r="E464" s="10"/>
      <c r="F464" s="9"/>
      <c r="G464" s="9"/>
      <c r="H464" s="9"/>
      <c r="I464" s="10"/>
      <c r="J464" s="10"/>
    </row>
    <row r="465" customFormat="false" ht="15" hidden="false" customHeight="false" outlineLevel="0" collapsed="false">
      <c r="A465" s="9"/>
      <c r="B465" s="9"/>
      <c r="C465" s="9"/>
      <c r="D465" s="10"/>
      <c r="E465" s="10"/>
      <c r="F465" s="9"/>
      <c r="G465" s="9"/>
      <c r="H465" s="9"/>
      <c r="I465" s="10"/>
      <c r="J465" s="10"/>
    </row>
    <row r="466" customFormat="false" ht="15" hidden="false" customHeight="false" outlineLevel="0" collapsed="false">
      <c r="A466" s="9"/>
      <c r="B466" s="9"/>
      <c r="C466" s="9"/>
      <c r="D466" s="10"/>
      <c r="E466" s="10"/>
      <c r="F466" s="9"/>
      <c r="G466" s="9"/>
      <c r="H466" s="9"/>
      <c r="I466" s="10"/>
      <c r="J466" s="10"/>
    </row>
    <row r="467" customFormat="false" ht="15" hidden="false" customHeight="false" outlineLevel="0" collapsed="false">
      <c r="A467" s="9"/>
      <c r="B467" s="9"/>
      <c r="C467" s="9"/>
      <c r="D467" s="10"/>
      <c r="E467" s="10"/>
      <c r="F467" s="9"/>
      <c r="G467" s="9"/>
      <c r="H467" s="9"/>
      <c r="I467" s="10"/>
      <c r="J467" s="10"/>
    </row>
    <row r="468" customFormat="false" ht="15" hidden="false" customHeight="false" outlineLevel="0" collapsed="false">
      <c r="A468" s="9"/>
      <c r="B468" s="9"/>
      <c r="C468" s="9"/>
      <c r="D468" s="10"/>
      <c r="E468" s="10"/>
      <c r="F468" s="9"/>
      <c r="G468" s="9"/>
      <c r="H468" s="9"/>
      <c r="I468" s="10"/>
      <c r="J468" s="10"/>
    </row>
    <row r="469" customFormat="false" ht="15" hidden="false" customHeight="false" outlineLevel="0" collapsed="false">
      <c r="A469" s="9"/>
      <c r="B469" s="9"/>
      <c r="C469" s="9"/>
      <c r="D469" s="10"/>
      <c r="E469" s="10"/>
      <c r="F469" s="9"/>
      <c r="G469" s="9"/>
      <c r="H469" s="9"/>
      <c r="I469" s="10"/>
      <c r="J469" s="10"/>
    </row>
    <row r="470" customFormat="false" ht="15" hidden="false" customHeight="false" outlineLevel="0" collapsed="false">
      <c r="A470" s="9"/>
      <c r="B470" s="9"/>
      <c r="C470" s="9"/>
      <c r="D470" s="10"/>
      <c r="E470" s="10"/>
      <c r="F470" s="9"/>
      <c r="G470" s="9"/>
      <c r="H470" s="9"/>
      <c r="I470" s="10"/>
      <c r="J470" s="10"/>
    </row>
    <row r="471" customFormat="false" ht="15" hidden="false" customHeight="false" outlineLevel="0" collapsed="false">
      <c r="A471" s="9"/>
      <c r="B471" s="9"/>
      <c r="C471" s="9"/>
      <c r="D471" s="10"/>
      <c r="E471" s="10"/>
      <c r="F471" s="9"/>
      <c r="G471" s="9"/>
      <c r="H471" s="9"/>
      <c r="I471" s="10"/>
      <c r="J471" s="10"/>
    </row>
    <row r="472" customFormat="false" ht="15" hidden="false" customHeight="false" outlineLevel="0" collapsed="false">
      <c r="A472" s="9"/>
      <c r="B472" s="9"/>
      <c r="C472" s="9"/>
      <c r="D472" s="10"/>
      <c r="E472" s="10"/>
      <c r="F472" s="9"/>
      <c r="G472" s="9"/>
      <c r="H472" s="9"/>
      <c r="I472" s="10"/>
      <c r="J472" s="10"/>
    </row>
    <row r="473" customFormat="false" ht="15" hidden="false" customHeight="false" outlineLevel="0" collapsed="false">
      <c r="A473" s="9"/>
      <c r="B473" s="9"/>
      <c r="C473" s="9"/>
      <c r="D473" s="10"/>
      <c r="E473" s="10"/>
      <c r="F473" s="9"/>
      <c r="G473" s="9"/>
      <c r="H473" s="9"/>
      <c r="I473" s="10"/>
      <c r="J473" s="10"/>
    </row>
    <row r="474" customFormat="false" ht="15" hidden="false" customHeight="false" outlineLevel="0" collapsed="false">
      <c r="A474" s="9"/>
      <c r="B474" s="9"/>
      <c r="C474" s="9"/>
      <c r="D474" s="10"/>
      <c r="E474" s="10"/>
      <c r="F474" s="9"/>
      <c r="G474" s="9"/>
      <c r="H474" s="9"/>
      <c r="I474" s="10"/>
      <c r="J474" s="10"/>
    </row>
    <row r="475" customFormat="false" ht="15" hidden="false" customHeight="false" outlineLevel="0" collapsed="false">
      <c r="A475" s="9"/>
      <c r="B475" s="9"/>
      <c r="C475" s="9"/>
      <c r="D475" s="10"/>
      <c r="E475" s="10"/>
      <c r="F475" s="9"/>
      <c r="G475" s="9"/>
      <c r="H475" s="9"/>
      <c r="I475" s="10"/>
      <c r="J475" s="10"/>
    </row>
    <row r="476" customFormat="false" ht="15" hidden="false" customHeight="false" outlineLevel="0" collapsed="false">
      <c r="A476" s="9"/>
      <c r="B476" s="9"/>
      <c r="C476" s="9"/>
      <c r="D476" s="10"/>
      <c r="E476" s="10"/>
      <c r="F476" s="9"/>
      <c r="G476" s="9"/>
      <c r="H476" s="9"/>
      <c r="I476" s="10"/>
      <c r="J476" s="10"/>
    </row>
    <row r="477" customFormat="false" ht="15" hidden="false" customHeight="false" outlineLevel="0" collapsed="false">
      <c r="A477" s="9"/>
      <c r="B477" s="9"/>
      <c r="C477" s="9"/>
      <c r="D477" s="10"/>
      <c r="E477" s="10"/>
      <c r="F477" s="9"/>
      <c r="G477" s="9"/>
      <c r="H477" s="9"/>
      <c r="I477" s="10"/>
      <c r="J477" s="10"/>
    </row>
    <row r="478" customFormat="false" ht="15" hidden="false" customHeight="false" outlineLevel="0" collapsed="false">
      <c r="A478" s="9"/>
      <c r="B478" s="9"/>
      <c r="C478" s="9"/>
      <c r="D478" s="10"/>
      <c r="E478" s="10"/>
      <c r="F478" s="9"/>
      <c r="G478" s="9"/>
      <c r="H478" s="9"/>
      <c r="I478" s="10"/>
      <c r="J478" s="10"/>
    </row>
    <row r="479" customFormat="false" ht="15" hidden="false" customHeight="false" outlineLevel="0" collapsed="false">
      <c r="A479" s="9"/>
      <c r="B479" s="9"/>
      <c r="C479" s="9"/>
      <c r="D479" s="10"/>
      <c r="E479" s="10"/>
      <c r="F479" s="9"/>
      <c r="G479" s="9"/>
      <c r="H479" s="9"/>
      <c r="I479" s="10"/>
      <c r="J479" s="10"/>
    </row>
    <row r="480" customFormat="false" ht="15" hidden="false" customHeight="false" outlineLevel="0" collapsed="false">
      <c r="A480" s="9"/>
      <c r="B480" s="9"/>
      <c r="C480" s="9"/>
      <c r="D480" s="10"/>
      <c r="E480" s="10"/>
      <c r="F480" s="9"/>
      <c r="G480" s="9"/>
      <c r="H480" s="9"/>
      <c r="I480" s="10"/>
      <c r="J480" s="10"/>
    </row>
    <row r="481" customFormat="false" ht="15" hidden="false" customHeight="false" outlineLevel="0" collapsed="false">
      <c r="A481" s="9"/>
      <c r="B481" s="9"/>
      <c r="C481" s="9"/>
      <c r="D481" s="10"/>
      <c r="E481" s="10"/>
      <c r="F481" s="9"/>
      <c r="G481" s="9"/>
      <c r="H481" s="9"/>
      <c r="I481" s="10"/>
      <c r="J481" s="10"/>
    </row>
    <row r="482" customFormat="false" ht="15" hidden="false" customHeight="false" outlineLevel="0" collapsed="false">
      <c r="A482" s="9"/>
      <c r="B482" s="9"/>
      <c r="C482" s="9"/>
      <c r="D482" s="10"/>
      <c r="E482" s="10"/>
      <c r="F482" s="9"/>
      <c r="G482" s="9"/>
      <c r="H482" s="9"/>
      <c r="I482" s="10"/>
      <c r="J482" s="10"/>
    </row>
    <row r="483" customFormat="false" ht="15" hidden="false" customHeight="false" outlineLevel="0" collapsed="false">
      <c r="A483" s="9"/>
      <c r="B483" s="9"/>
      <c r="C483" s="9"/>
      <c r="D483" s="10"/>
      <c r="E483" s="10"/>
      <c r="F483" s="9"/>
      <c r="G483" s="9"/>
      <c r="H483" s="9"/>
      <c r="I483" s="10"/>
      <c r="J483" s="10"/>
    </row>
    <row r="484" customFormat="false" ht="15" hidden="false" customHeight="false" outlineLevel="0" collapsed="false">
      <c r="A484" s="9"/>
      <c r="B484" s="9"/>
      <c r="C484" s="9"/>
      <c r="D484" s="10"/>
      <c r="E484" s="10"/>
      <c r="F484" s="9"/>
      <c r="G484" s="9"/>
      <c r="H484" s="9"/>
      <c r="I484" s="10"/>
      <c r="J484" s="10"/>
    </row>
    <row r="485" customFormat="false" ht="15" hidden="false" customHeight="false" outlineLevel="0" collapsed="false">
      <c r="A485" s="9"/>
      <c r="B485" s="9"/>
      <c r="C485" s="9"/>
      <c r="D485" s="10"/>
      <c r="E485" s="10"/>
      <c r="F485" s="9"/>
      <c r="G485" s="9"/>
      <c r="H485" s="9"/>
      <c r="I485" s="10"/>
      <c r="J485" s="10"/>
    </row>
    <row r="486" customFormat="false" ht="15" hidden="false" customHeight="false" outlineLevel="0" collapsed="false">
      <c r="A486" s="9"/>
      <c r="B486" s="9"/>
      <c r="C486" s="9"/>
      <c r="D486" s="10"/>
      <c r="E486" s="10"/>
      <c r="F486" s="9"/>
      <c r="G486" s="9"/>
      <c r="H486" s="9"/>
      <c r="I486" s="10"/>
      <c r="J486" s="10"/>
    </row>
    <row r="487" customFormat="false" ht="15" hidden="false" customHeight="false" outlineLevel="0" collapsed="false">
      <c r="A487" s="9"/>
      <c r="B487" s="9"/>
      <c r="C487" s="9"/>
      <c r="D487" s="10"/>
      <c r="E487" s="10"/>
      <c r="F487" s="9"/>
      <c r="G487" s="9"/>
      <c r="H487" s="9"/>
      <c r="I487" s="10"/>
      <c r="J487" s="10"/>
    </row>
    <row r="488" customFormat="false" ht="15" hidden="false" customHeight="false" outlineLevel="0" collapsed="false">
      <c r="A488" s="9"/>
      <c r="B488" s="9"/>
      <c r="C488" s="9"/>
      <c r="D488" s="10"/>
      <c r="E488" s="10"/>
      <c r="F488" s="9"/>
      <c r="G488" s="9"/>
      <c r="H488" s="9"/>
      <c r="I488" s="10"/>
      <c r="J488" s="10"/>
    </row>
    <row r="489" customFormat="false" ht="15" hidden="false" customHeight="false" outlineLevel="0" collapsed="false">
      <c r="A489" s="9"/>
      <c r="B489" s="9"/>
      <c r="C489" s="9"/>
      <c r="D489" s="10"/>
      <c r="E489" s="10"/>
      <c r="F489" s="9"/>
      <c r="G489" s="9"/>
      <c r="H489" s="9"/>
      <c r="I489" s="10"/>
      <c r="J489" s="10"/>
    </row>
    <row r="490" customFormat="false" ht="15" hidden="false" customHeight="false" outlineLevel="0" collapsed="false">
      <c r="A490" s="9"/>
      <c r="B490" s="9"/>
      <c r="C490" s="9"/>
      <c r="D490" s="10"/>
      <c r="E490" s="10"/>
      <c r="F490" s="9"/>
      <c r="G490" s="9"/>
      <c r="H490" s="9"/>
      <c r="I490" s="10"/>
      <c r="J490" s="10"/>
    </row>
    <row r="491" customFormat="false" ht="15" hidden="false" customHeight="false" outlineLevel="0" collapsed="false">
      <c r="A491" s="9"/>
      <c r="B491" s="9"/>
      <c r="C491" s="9"/>
      <c r="D491" s="10"/>
      <c r="E491" s="10"/>
      <c r="F491" s="9"/>
      <c r="G491" s="9"/>
      <c r="H491" s="9"/>
      <c r="I491" s="10"/>
      <c r="J491" s="10"/>
    </row>
    <row r="492" customFormat="false" ht="15" hidden="false" customHeight="false" outlineLevel="0" collapsed="false">
      <c r="A492" s="9"/>
      <c r="B492" s="9"/>
      <c r="C492" s="9"/>
      <c r="D492" s="10"/>
      <c r="E492" s="10"/>
      <c r="F492" s="9"/>
      <c r="G492" s="9"/>
      <c r="H492" s="9"/>
      <c r="I492" s="10"/>
      <c r="J492" s="10"/>
    </row>
    <row r="493" customFormat="false" ht="15" hidden="false" customHeight="false" outlineLevel="0" collapsed="false">
      <c r="A493" s="9"/>
      <c r="B493" s="9"/>
      <c r="C493" s="9"/>
      <c r="D493" s="10"/>
      <c r="E493" s="10"/>
      <c r="F493" s="9"/>
      <c r="G493" s="9"/>
      <c r="H493" s="9"/>
      <c r="I493" s="10"/>
      <c r="J493" s="10"/>
    </row>
    <row r="494" customFormat="false" ht="15" hidden="false" customHeight="false" outlineLevel="0" collapsed="false">
      <c r="A494" s="9"/>
      <c r="B494" s="9"/>
      <c r="C494" s="9"/>
      <c r="D494" s="10"/>
      <c r="E494" s="10"/>
      <c r="F494" s="9"/>
      <c r="G494" s="9"/>
      <c r="H494" s="9"/>
      <c r="I494" s="10"/>
      <c r="J494" s="10"/>
    </row>
    <row r="495" customFormat="false" ht="15" hidden="false" customHeight="false" outlineLevel="0" collapsed="false">
      <c r="A495" s="9"/>
      <c r="B495" s="9"/>
      <c r="C495" s="9"/>
      <c r="D495" s="10"/>
      <c r="E495" s="10"/>
      <c r="F495" s="9"/>
      <c r="G495" s="9"/>
      <c r="H495" s="9"/>
      <c r="I495" s="10"/>
      <c r="J495" s="10"/>
    </row>
    <row r="496" customFormat="false" ht="15" hidden="false" customHeight="false" outlineLevel="0" collapsed="false">
      <c r="A496" s="9"/>
      <c r="B496" s="9"/>
      <c r="C496" s="9"/>
      <c r="D496" s="10"/>
      <c r="E496" s="10"/>
      <c r="F496" s="9"/>
      <c r="G496" s="9"/>
      <c r="H496" s="9"/>
      <c r="I496" s="10"/>
      <c r="J496" s="10"/>
    </row>
    <row r="497" customFormat="false" ht="15" hidden="false" customHeight="false" outlineLevel="0" collapsed="false">
      <c r="A497" s="9"/>
      <c r="B497" s="9"/>
      <c r="C497" s="9"/>
      <c r="D497" s="10"/>
      <c r="E497" s="10"/>
      <c r="F497" s="9"/>
      <c r="G497" s="9"/>
      <c r="H497" s="9"/>
      <c r="I497" s="10"/>
      <c r="J497" s="10"/>
    </row>
    <row r="498" customFormat="false" ht="15" hidden="false" customHeight="false" outlineLevel="0" collapsed="false">
      <c r="A498" s="9"/>
      <c r="B498" s="9"/>
      <c r="C498" s="9"/>
      <c r="D498" s="10"/>
      <c r="E498" s="10"/>
      <c r="F498" s="9"/>
      <c r="G498" s="9"/>
      <c r="H498" s="9"/>
      <c r="I498" s="10"/>
      <c r="J498" s="10"/>
    </row>
    <row r="499" customFormat="false" ht="15" hidden="false" customHeight="false" outlineLevel="0" collapsed="false">
      <c r="A499" s="9"/>
      <c r="B499" s="9"/>
      <c r="C499" s="9"/>
      <c r="D499" s="10"/>
      <c r="E499" s="10"/>
      <c r="F499" s="9"/>
      <c r="G499" s="9"/>
      <c r="H499" s="9"/>
      <c r="I499" s="10"/>
      <c r="J499" s="10"/>
    </row>
    <row r="500" customFormat="false" ht="15" hidden="false" customHeight="false" outlineLevel="0" collapsed="false">
      <c r="A500" s="9"/>
      <c r="B500" s="9"/>
      <c r="C500" s="9"/>
      <c r="D500" s="10"/>
      <c r="E500" s="10"/>
      <c r="F500" s="9"/>
      <c r="G500" s="9"/>
      <c r="H500" s="9"/>
      <c r="I500" s="10"/>
      <c r="J500" s="10"/>
    </row>
    <row r="501" customFormat="false" ht="15" hidden="false" customHeight="false" outlineLevel="0" collapsed="false">
      <c r="A501" s="9"/>
      <c r="B501" s="9"/>
      <c r="C501" s="9"/>
      <c r="D501" s="10"/>
      <c r="E501" s="10"/>
      <c r="F501" s="9"/>
      <c r="G501" s="9"/>
      <c r="H501" s="9"/>
      <c r="I501" s="10"/>
      <c r="J501" s="10"/>
    </row>
    <row r="502" customFormat="false" ht="15" hidden="false" customHeight="false" outlineLevel="0" collapsed="false">
      <c r="A502" s="9"/>
      <c r="B502" s="9"/>
      <c r="C502" s="9"/>
      <c r="D502" s="10"/>
      <c r="E502" s="10"/>
      <c r="F502" s="9"/>
      <c r="G502" s="9"/>
      <c r="H502" s="9"/>
      <c r="I502" s="10"/>
      <c r="J502" s="10"/>
    </row>
    <row r="503" customFormat="false" ht="15" hidden="false" customHeight="false" outlineLevel="0" collapsed="false">
      <c r="A503" s="9"/>
      <c r="B503" s="9"/>
      <c r="C503" s="9"/>
      <c r="D503" s="10"/>
      <c r="E503" s="10"/>
      <c r="F503" s="9"/>
      <c r="G503" s="9"/>
      <c r="H503" s="9"/>
      <c r="I503" s="10"/>
      <c r="J503" s="10"/>
    </row>
    <row r="504" customFormat="false" ht="15" hidden="false" customHeight="false" outlineLevel="0" collapsed="false">
      <c r="A504" s="9"/>
      <c r="B504" s="9"/>
      <c r="C504" s="9"/>
      <c r="D504" s="10"/>
      <c r="E504" s="10"/>
      <c r="F504" s="9"/>
      <c r="G504" s="9"/>
      <c r="H504" s="9"/>
      <c r="I504" s="10"/>
      <c r="J504" s="10"/>
    </row>
    <row r="505" customFormat="false" ht="15" hidden="false" customHeight="false" outlineLevel="0" collapsed="false">
      <c r="A505" s="9"/>
      <c r="B505" s="9"/>
      <c r="C505" s="9"/>
      <c r="D505" s="10"/>
      <c r="E505" s="10"/>
      <c r="F505" s="9"/>
      <c r="G505" s="9"/>
      <c r="H505" s="9"/>
      <c r="I505" s="10"/>
      <c r="J505" s="10"/>
    </row>
    <row r="506" customFormat="false" ht="15" hidden="false" customHeight="false" outlineLevel="0" collapsed="false">
      <c r="A506" s="9"/>
      <c r="B506" s="9"/>
      <c r="C506" s="9"/>
      <c r="D506" s="10"/>
      <c r="E506" s="10"/>
      <c r="F506" s="9"/>
      <c r="G506" s="9"/>
      <c r="H506" s="9"/>
      <c r="I506" s="10"/>
      <c r="J506" s="10"/>
    </row>
    <row r="507" customFormat="false" ht="15" hidden="false" customHeight="false" outlineLevel="0" collapsed="false">
      <c r="A507" s="9"/>
      <c r="B507" s="9"/>
      <c r="C507" s="9"/>
      <c r="D507" s="10"/>
      <c r="E507" s="10"/>
      <c r="F507" s="9"/>
      <c r="G507" s="9"/>
      <c r="H507" s="9"/>
      <c r="I507" s="10"/>
      <c r="J507" s="10"/>
    </row>
    <row r="508" customFormat="false" ht="15" hidden="false" customHeight="false" outlineLevel="0" collapsed="false">
      <c r="A508" s="9"/>
      <c r="B508" s="9"/>
      <c r="C508" s="9"/>
      <c r="D508" s="10"/>
      <c r="E508" s="10"/>
      <c r="F508" s="9"/>
      <c r="G508" s="9"/>
      <c r="H508" s="9"/>
      <c r="I508" s="10"/>
      <c r="J508" s="10"/>
    </row>
    <row r="509" customFormat="false" ht="15" hidden="false" customHeight="false" outlineLevel="0" collapsed="false">
      <c r="A509" s="9"/>
      <c r="B509" s="9"/>
      <c r="C509" s="9"/>
      <c r="D509" s="10"/>
      <c r="E509" s="10"/>
      <c r="F509" s="9"/>
      <c r="G509" s="9"/>
      <c r="H509" s="9"/>
      <c r="I509" s="10"/>
      <c r="J509" s="10"/>
    </row>
    <row r="510" customFormat="false" ht="15" hidden="false" customHeight="false" outlineLevel="0" collapsed="false">
      <c r="A510" s="9"/>
      <c r="B510" s="9"/>
      <c r="C510" s="9"/>
      <c r="D510" s="10"/>
      <c r="E510" s="10"/>
      <c r="F510" s="9"/>
      <c r="G510" s="9"/>
      <c r="H510" s="9"/>
      <c r="I510" s="10"/>
      <c r="J510" s="10"/>
    </row>
    <row r="511" customFormat="false" ht="15" hidden="false" customHeight="false" outlineLevel="0" collapsed="false">
      <c r="A511" s="9"/>
      <c r="B511" s="9"/>
      <c r="C511" s="9"/>
      <c r="D511" s="10"/>
      <c r="E511" s="10"/>
      <c r="F511" s="9"/>
      <c r="G511" s="9"/>
      <c r="H511" s="9"/>
      <c r="I511" s="10"/>
      <c r="J511" s="10"/>
    </row>
    <row r="512" customFormat="false" ht="15" hidden="false" customHeight="false" outlineLevel="0" collapsed="false">
      <c r="A512" s="9"/>
      <c r="B512" s="9"/>
      <c r="C512" s="9"/>
      <c r="D512" s="10"/>
      <c r="E512" s="10"/>
      <c r="F512" s="9"/>
      <c r="G512" s="9"/>
      <c r="H512" s="9"/>
      <c r="I512" s="10"/>
      <c r="J512" s="10"/>
    </row>
    <row r="513" customFormat="false" ht="15" hidden="false" customHeight="false" outlineLevel="0" collapsed="false">
      <c r="A513" s="9"/>
      <c r="B513" s="9"/>
      <c r="C513" s="9"/>
      <c r="D513" s="10"/>
      <c r="E513" s="10"/>
      <c r="F513" s="9"/>
      <c r="G513" s="9"/>
      <c r="H513" s="9"/>
      <c r="I513" s="10"/>
      <c r="J513" s="10"/>
    </row>
    <row r="514" customFormat="false" ht="15" hidden="false" customHeight="false" outlineLevel="0" collapsed="false">
      <c r="A514" s="9"/>
      <c r="B514" s="9"/>
      <c r="C514" s="9"/>
      <c r="D514" s="10"/>
      <c r="E514" s="10"/>
      <c r="F514" s="9"/>
      <c r="G514" s="9"/>
      <c r="H514" s="9"/>
      <c r="I514" s="10"/>
      <c r="J514" s="10"/>
    </row>
    <row r="515" customFormat="false" ht="15" hidden="false" customHeight="false" outlineLevel="0" collapsed="false">
      <c r="A515" s="9"/>
      <c r="B515" s="9"/>
      <c r="C515" s="9"/>
      <c r="D515" s="10"/>
      <c r="E515" s="10"/>
      <c r="F515" s="9"/>
      <c r="G515" s="9"/>
      <c r="H515" s="9"/>
      <c r="I515" s="10"/>
      <c r="J515" s="10"/>
    </row>
    <row r="516" customFormat="false" ht="15" hidden="false" customHeight="false" outlineLevel="0" collapsed="false">
      <c r="A516" s="9"/>
      <c r="B516" s="9"/>
      <c r="C516" s="9"/>
      <c r="D516" s="10"/>
      <c r="E516" s="10"/>
      <c r="F516" s="9"/>
      <c r="G516" s="9"/>
      <c r="H516" s="9"/>
      <c r="I516" s="10"/>
      <c r="J516" s="10"/>
    </row>
    <row r="517" customFormat="false" ht="15" hidden="false" customHeight="false" outlineLevel="0" collapsed="false">
      <c r="A517" s="9"/>
      <c r="B517" s="9"/>
      <c r="C517" s="9"/>
      <c r="D517" s="10"/>
      <c r="E517" s="10"/>
      <c r="F517" s="9"/>
      <c r="G517" s="9"/>
      <c r="H517" s="9"/>
      <c r="I517" s="10"/>
      <c r="J517" s="10"/>
    </row>
    <row r="518" customFormat="false" ht="15" hidden="false" customHeight="false" outlineLevel="0" collapsed="false">
      <c r="A518" s="9"/>
      <c r="B518" s="9"/>
      <c r="C518" s="9"/>
      <c r="D518" s="10"/>
      <c r="E518" s="10"/>
      <c r="F518" s="9"/>
      <c r="G518" s="9"/>
      <c r="H518" s="9"/>
      <c r="I518" s="10"/>
      <c r="J518" s="10"/>
    </row>
    <row r="519" customFormat="false" ht="15" hidden="false" customHeight="false" outlineLevel="0" collapsed="false">
      <c r="A519" s="9"/>
      <c r="B519" s="9"/>
      <c r="C519" s="9"/>
      <c r="D519" s="10"/>
      <c r="E519" s="10"/>
      <c r="F519" s="9"/>
      <c r="G519" s="9"/>
      <c r="H519" s="9"/>
      <c r="I519" s="10"/>
      <c r="J519" s="10"/>
    </row>
    <row r="520" customFormat="false" ht="15" hidden="false" customHeight="false" outlineLevel="0" collapsed="false">
      <c r="A520" s="9"/>
      <c r="B520" s="9"/>
      <c r="C520" s="9"/>
      <c r="D520" s="10"/>
      <c r="E520" s="10"/>
      <c r="F520" s="9"/>
      <c r="G520" s="9"/>
      <c r="H520" s="9"/>
      <c r="I520" s="10"/>
      <c r="J520" s="10"/>
    </row>
    <row r="521" customFormat="false" ht="15" hidden="false" customHeight="false" outlineLevel="0" collapsed="false">
      <c r="A521" s="9"/>
      <c r="B521" s="9"/>
      <c r="C521" s="9"/>
      <c r="D521" s="10"/>
      <c r="E521" s="10"/>
      <c r="F521" s="9"/>
      <c r="G521" s="9"/>
      <c r="H521" s="9"/>
      <c r="I521" s="10"/>
      <c r="J521" s="10"/>
    </row>
    <row r="522" customFormat="false" ht="15" hidden="false" customHeight="false" outlineLevel="0" collapsed="false">
      <c r="A522" s="9"/>
      <c r="B522" s="9"/>
      <c r="C522" s="9"/>
      <c r="D522" s="10"/>
      <c r="E522" s="10"/>
      <c r="F522" s="9"/>
      <c r="G522" s="9"/>
      <c r="H522" s="9"/>
      <c r="I522" s="10"/>
      <c r="J522" s="10"/>
    </row>
    <row r="523" customFormat="false" ht="15" hidden="false" customHeight="false" outlineLevel="0" collapsed="false">
      <c r="A523" s="9"/>
      <c r="B523" s="9"/>
      <c r="C523" s="9"/>
      <c r="D523" s="10"/>
      <c r="E523" s="10"/>
      <c r="F523" s="9"/>
      <c r="G523" s="9"/>
      <c r="H523" s="9"/>
      <c r="I523" s="10"/>
      <c r="J523" s="10"/>
    </row>
    <row r="524" customFormat="false" ht="15" hidden="false" customHeight="false" outlineLevel="0" collapsed="false">
      <c r="A524" s="9"/>
      <c r="B524" s="9"/>
      <c r="C524" s="9"/>
      <c r="D524" s="10"/>
      <c r="E524" s="10"/>
      <c r="F524" s="9"/>
      <c r="G524" s="9"/>
      <c r="H524" s="9"/>
      <c r="I524" s="10"/>
      <c r="J524" s="10"/>
    </row>
    <row r="525" customFormat="false" ht="15" hidden="false" customHeight="false" outlineLevel="0" collapsed="false">
      <c r="A525" s="9"/>
      <c r="B525" s="9"/>
      <c r="C525" s="9"/>
      <c r="D525" s="10"/>
      <c r="E525" s="10"/>
      <c r="F525" s="9"/>
      <c r="G525" s="9"/>
      <c r="H525" s="9"/>
      <c r="I525" s="10"/>
      <c r="J525" s="10"/>
    </row>
    <row r="526" customFormat="false" ht="15" hidden="false" customHeight="false" outlineLevel="0" collapsed="false">
      <c r="A526" s="9"/>
      <c r="B526" s="9"/>
      <c r="C526" s="9"/>
      <c r="D526" s="10"/>
      <c r="E526" s="10"/>
      <c r="F526" s="9"/>
      <c r="G526" s="9"/>
      <c r="H526" s="9"/>
      <c r="I526" s="10"/>
      <c r="J526" s="10"/>
    </row>
    <row r="527" customFormat="false" ht="15" hidden="false" customHeight="false" outlineLevel="0" collapsed="false">
      <c r="A527" s="9"/>
      <c r="B527" s="9"/>
      <c r="C527" s="9"/>
      <c r="D527" s="10"/>
      <c r="E527" s="10"/>
      <c r="F527" s="9"/>
      <c r="G527" s="9"/>
      <c r="H527" s="9"/>
      <c r="I527" s="10"/>
      <c r="J527" s="10"/>
    </row>
    <row r="528" customFormat="false" ht="15" hidden="false" customHeight="false" outlineLevel="0" collapsed="false">
      <c r="A528" s="9"/>
      <c r="B528" s="9"/>
      <c r="C528" s="9"/>
      <c r="D528" s="10"/>
      <c r="E528" s="10"/>
      <c r="F528" s="9"/>
      <c r="G528" s="9"/>
      <c r="H528" s="9"/>
      <c r="I528" s="10"/>
      <c r="J528" s="10"/>
    </row>
    <row r="529" customFormat="false" ht="15" hidden="false" customHeight="false" outlineLevel="0" collapsed="false">
      <c r="A529" s="9"/>
      <c r="B529" s="9"/>
      <c r="C529" s="9"/>
      <c r="D529" s="10"/>
      <c r="E529" s="10"/>
      <c r="F529" s="9"/>
      <c r="G529" s="9"/>
      <c r="H529" s="9"/>
      <c r="I529" s="10"/>
      <c r="J529" s="10"/>
    </row>
    <row r="530" customFormat="false" ht="15" hidden="false" customHeight="false" outlineLevel="0" collapsed="false">
      <c r="A530" s="9"/>
      <c r="B530" s="9"/>
      <c r="C530" s="9"/>
      <c r="D530" s="10"/>
      <c r="E530" s="10"/>
      <c r="F530" s="9"/>
      <c r="G530" s="9"/>
      <c r="H530" s="9"/>
      <c r="I530" s="10"/>
      <c r="J530" s="10"/>
    </row>
    <row r="531" customFormat="false" ht="15" hidden="false" customHeight="false" outlineLevel="0" collapsed="false">
      <c r="A531" s="9"/>
      <c r="B531" s="9"/>
      <c r="C531" s="9"/>
      <c r="D531" s="10"/>
      <c r="E531" s="10"/>
      <c r="F531" s="9"/>
      <c r="G531" s="9"/>
      <c r="H531" s="9"/>
      <c r="I531" s="10"/>
      <c r="J531" s="10"/>
    </row>
    <row r="532" customFormat="false" ht="15" hidden="false" customHeight="false" outlineLevel="0" collapsed="false">
      <c r="A532" s="9"/>
      <c r="B532" s="9"/>
      <c r="C532" s="9"/>
      <c r="D532" s="10"/>
      <c r="E532" s="10"/>
      <c r="F532" s="9"/>
      <c r="G532" s="9"/>
      <c r="H532" s="9"/>
      <c r="I532" s="10"/>
      <c r="J532" s="10"/>
    </row>
    <row r="533" customFormat="false" ht="15" hidden="false" customHeight="false" outlineLevel="0" collapsed="false">
      <c r="A533" s="9"/>
      <c r="B533" s="9"/>
      <c r="C533" s="9"/>
      <c r="D533" s="10"/>
      <c r="E533" s="10"/>
      <c r="F533" s="9"/>
      <c r="G533" s="9"/>
      <c r="H533" s="9"/>
      <c r="I533" s="10"/>
      <c r="J533" s="10"/>
    </row>
    <row r="534" customFormat="false" ht="15" hidden="false" customHeight="false" outlineLevel="0" collapsed="false">
      <c r="A534" s="9"/>
      <c r="B534" s="9"/>
      <c r="C534" s="9"/>
      <c r="D534" s="10"/>
      <c r="E534" s="10"/>
      <c r="F534" s="9"/>
      <c r="G534" s="9"/>
      <c r="H534" s="9"/>
      <c r="I534" s="10"/>
      <c r="J534" s="10"/>
    </row>
    <row r="535" customFormat="false" ht="15" hidden="false" customHeight="false" outlineLevel="0" collapsed="false">
      <c r="A535" s="9"/>
      <c r="B535" s="9"/>
      <c r="C535" s="9"/>
      <c r="D535" s="10"/>
      <c r="E535" s="10"/>
      <c r="F535" s="9"/>
      <c r="G535" s="9"/>
      <c r="H535" s="9"/>
      <c r="I535" s="10"/>
      <c r="J535" s="10"/>
    </row>
    <row r="536" customFormat="false" ht="15" hidden="false" customHeight="false" outlineLevel="0" collapsed="false">
      <c r="A536" s="9"/>
      <c r="B536" s="9"/>
      <c r="C536" s="9"/>
      <c r="D536" s="10"/>
      <c r="E536" s="10"/>
      <c r="F536" s="9"/>
      <c r="G536" s="9"/>
      <c r="H536" s="9"/>
      <c r="I536" s="10"/>
      <c r="J536" s="10"/>
    </row>
    <row r="537" customFormat="false" ht="15" hidden="false" customHeight="false" outlineLevel="0" collapsed="false">
      <c r="A537" s="9"/>
      <c r="B537" s="9"/>
      <c r="C537" s="9"/>
      <c r="D537" s="10"/>
      <c r="E537" s="10"/>
      <c r="F537" s="9"/>
      <c r="G537" s="9"/>
      <c r="H537" s="9"/>
      <c r="I537" s="10"/>
      <c r="J537" s="10"/>
    </row>
    <row r="538" customFormat="false" ht="15" hidden="false" customHeight="false" outlineLevel="0" collapsed="false">
      <c r="A538" s="9"/>
      <c r="B538" s="9"/>
      <c r="C538" s="9"/>
      <c r="D538" s="10"/>
      <c r="E538" s="10"/>
      <c r="F538" s="9"/>
      <c r="G538" s="9"/>
      <c r="H538" s="9"/>
      <c r="I538" s="10"/>
      <c r="J538" s="10"/>
    </row>
    <row r="539" customFormat="false" ht="15" hidden="false" customHeight="false" outlineLevel="0" collapsed="false">
      <c r="A539" s="9"/>
      <c r="B539" s="9"/>
      <c r="C539" s="9"/>
      <c r="D539" s="10"/>
      <c r="E539" s="10"/>
      <c r="F539" s="9"/>
      <c r="G539" s="9"/>
      <c r="H539" s="9"/>
      <c r="I539" s="10"/>
      <c r="J539" s="10"/>
    </row>
    <row r="540" customFormat="false" ht="15" hidden="false" customHeight="false" outlineLevel="0" collapsed="false">
      <c r="A540" s="9"/>
      <c r="B540" s="9"/>
      <c r="C540" s="9"/>
      <c r="D540" s="10"/>
      <c r="E540" s="10"/>
      <c r="F540" s="9"/>
      <c r="G540" s="9"/>
      <c r="H540" s="9"/>
      <c r="I540" s="10"/>
      <c r="J540" s="10"/>
    </row>
    <row r="541" customFormat="false" ht="15" hidden="false" customHeight="false" outlineLevel="0" collapsed="false">
      <c r="A541" s="9"/>
      <c r="B541" s="9"/>
      <c r="C541" s="9"/>
      <c r="D541" s="10"/>
      <c r="E541" s="10"/>
      <c r="F541" s="9"/>
      <c r="G541" s="9"/>
      <c r="H541" s="9"/>
      <c r="I541" s="10"/>
      <c r="J541" s="10"/>
    </row>
    <row r="542" customFormat="false" ht="15" hidden="false" customHeight="false" outlineLevel="0" collapsed="false">
      <c r="A542" s="9"/>
      <c r="B542" s="9"/>
      <c r="C542" s="9"/>
      <c r="D542" s="10"/>
      <c r="E542" s="10"/>
      <c r="F542" s="9"/>
      <c r="G542" s="9"/>
      <c r="H542" s="9"/>
      <c r="I542" s="10"/>
      <c r="J542" s="10"/>
    </row>
    <row r="543" customFormat="false" ht="15" hidden="false" customHeight="false" outlineLevel="0" collapsed="false">
      <c r="A543" s="9"/>
      <c r="B543" s="9"/>
      <c r="C543" s="9"/>
      <c r="D543" s="10"/>
      <c r="E543" s="10"/>
      <c r="F543" s="9"/>
      <c r="G543" s="9"/>
      <c r="H543" s="9"/>
      <c r="I543" s="10"/>
      <c r="J543" s="10"/>
    </row>
    <row r="544" customFormat="false" ht="15" hidden="false" customHeight="false" outlineLevel="0" collapsed="false">
      <c r="A544" s="9"/>
      <c r="B544" s="9"/>
      <c r="C544" s="9"/>
      <c r="D544" s="10"/>
      <c r="E544" s="10"/>
      <c r="F544" s="9"/>
      <c r="G544" s="9"/>
      <c r="H544" s="9"/>
      <c r="I544" s="10"/>
      <c r="J544" s="10"/>
    </row>
    <row r="545" customFormat="false" ht="15" hidden="false" customHeight="false" outlineLevel="0" collapsed="false">
      <c r="A545" s="9"/>
      <c r="B545" s="9"/>
      <c r="C545" s="9"/>
      <c r="D545" s="10"/>
      <c r="E545" s="10"/>
      <c r="F545" s="9"/>
      <c r="G545" s="9"/>
      <c r="H545" s="9"/>
      <c r="I545" s="10"/>
      <c r="J545" s="10"/>
    </row>
    <row r="546" customFormat="false" ht="15" hidden="false" customHeight="false" outlineLevel="0" collapsed="false">
      <c r="A546" s="9"/>
      <c r="B546" s="9"/>
      <c r="C546" s="9"/>
      <c r="D546" s="10"/>
      <c r="E546" s="10"/>
      <c r="F546" s="9"/>
      <c r="G546" s="9"/>
      <c r="H546" s="9"/>
      <c r="I546" s="10"/>
      <c r="J546" s="10"/>
    </row>
    <row r="547" customFormat="false" ht="15" hidden="false" customHeight="false" outlineLevel="0" collapsed="false">
      <c r="A547" s="9"/>
      <c r="B547" s="9"/>
      <c r="C547" s="9"/>
      <c r="D547" s="10"/>
      <c r="E547" s="10"/>
      <c r="F547" s="9"/>
      <c r="G547" s="9"/>
      <c r="H547" s="9"/>
      <c r="I547" s="10"/>
      <c r="J547" s="10"/>
    </row>
    <row r="548" customFormat="false" ht="15" hidden="false" customHeight="false" outlineLevel="0" collapsed="false">
      <c r="A548" s="9"/>
      <c r="B548" s="9"/>
      <c r="C548" s="9"/>
      <c r="D548" s="10"/>
      <c r="E548" s="10"/>
      <c r="F548" s="9"/>
      <c r="G548" s="9"/>
      <c r="H548" s="9"/>
      <c r="I548" s="10"/>
      <c r="J548" s="10"/>
    </row>
    <row r="549" customFormat="false" ht="15" hidden="false" customHeight="false" outlineLevel="0" collapsed="false">
      <c r="A549" s="9"/>
      <c r="B549" s="9"/>
      <c r="C549" s="9"/>
      <c r="D549" s="10"/>
      <c r="E549" s="10"/>
      <c r="F549" s="9"/>
      <c r="G549" s="9"/>
      <c r="H549" s="9"/>
      <c r="I549" s="10"/>
      <c r="J549" s="10"/>
    </row>
    <row r="550" customFormat="false" ht="15" hidden="false" customHeight="false" outlineLevel="0" collapsed="false">
      <c r="A550" s="9"/>
      <c r="B550" s="9"/>
      <c r="C550" s="9"/>
      <c r="D550" s="10"/>
      <c r="E550" s="10"/>
      <c r="F550" s="9"/>
      <c r="G550" s="9"/>
      <c r="H550" s="9"/>
      <c r="I550" s="10"/>
      <c r="J550" s="10"/>
    </row>
    <row r="551" customFormat="false" ht="15" hidden="false" customHeight="false" outlineLevel="0" collapsed="false">
      <c r="A551" s="9"/>
      <c r="B551" s="9"/>
      <c r="C551" s="9"/>
      <c r="D551" s="10"/>
      <c r="E551" s="10"/>
      <c r="F551" s="9"/>
      <c r="G551" s="9"/>
      <c r="H551" s="9"/>
      <c r="I551" s="10"/>
      <c r="J551" s="10"/>
    </row>
    <row r="552" customFormat="false" ht="15" hidden="false" customHeight="false" outlineLevel="0" collapsed="false">
      <c r="A552" s="9"/>
      <c r="B552" s="9"/>
      <c r="C552" s="9"/>
      <c r="D552" s="10"/>
      <c r="E552" s="10"/>
      <c r="F552" s="9"/>
      <c r="G552" s="9"/>
      <c r="H552" s="9"/>
      <c r="I552" s="10"/>
      <c r="J552" s="10"/>
    </row>
    <row r="553" customFormat="false" ht="15" hidden="false" customHeight="false" outlineLevel="0" collapsed="false">
      <c r="A553" s="9"/>
      <c r="B553" s="9"/>
      <c r="C553" s="9"/>
      <c r="D553" s="10"/>
      <c r="E553" s="10"/>
      <c r="F553" s="9"/>
      <c r="G553" s="9"/>
      <c r="H553" s="9"/>
      <c r="I553" s="10"/>
      <c r="J553" s="10"/>
    </row>
    <row r="554" customFormat="false" ht="15" hidden="false" customHeight="false" outlineLevel="0" collapsed="false">
      <c r="A554" s="9"/>
      <c r="B554" s="9"/>
      <c r="C554" s="9"/>
      <c r="D554" s="10"/>
      <c r="E554" s="10"/>
      <c r="F554" s="9"/>
      <c r="G554" s="9"/>
      <c r="H554" s="9"/>
      <c r="I554" s="10"/>
      <c r="J554" s="10"/>
    </row>
    <row r="555" customFormat="false" ht="15" hidden="false" customHeight="false" outlineLevel="0" collapsed="false">
      <c r="A555" s="9"/>
      <c r="B555" s="9"/>
      <c r="C555" s="9"/>
      <c r="D555" s="10"/>
      <c r="E555" s="10"/>
      <c r="F555" s="9"/>
      <c r="G555" s="9"/>
      <c r="H555" s="9"/>
      <c r="I555" s="10"/>
      <c r="J555" s="10"/>
    </row>
    <row r="556" customFormat="false" ht="15" hidden="false" customHeight="false" outlineLevel="0" collapsed="false">
      <c r="A556" s="9"/>
      <c r="B556" s="9"/>
      <c r="C556" s="9"/>
      <c r="D556" s="10"/>
      <c r="E556" s="10"/>
      <c r="F556" s="9"/>
      <c r="G556" s="9"/>
      <c r="H556" s="9"/>
      <c r="I556" s="10"/>
      <c r="J556" s="10"/>
    </row>
    <row r="557" customFormat="false" ht="15" hidden="false" customHeight="false" outlineLevel="0" collapsed="false">
      <c r="A557" s="9"/>
      <c r="B557" s="9"/>
      <c r="C557" s="9"/>
      <c r="D557" s="10"/>
      <c r="E557" s="10"/>
      <c r="F557" s="9"/>
      <c r="G557" s="9"/>
      <c r="H557" s="9"/>
      <c r="I557" s="10"/>
      <c r="J557" s="10"/>
    </row>
    <row r="558" customFormat="false" ht="15" hidden="false" customHeight="false" outlineLevel="0" collapsed="false">
      <c r="A558" s="9"/>
      <c r="B558" s="9"/>
      <c r="C558" s="9"/>
      <c r="D558" s="10"/>
      <c r="E558" s="10"/>
      <c r="F558" s="9"/>
      <c r="G558" s="9"/>
      <c r="H558" s="9"/>
      <c r="I558" s="10"/>
      <c r="J558" s="10"/>
    </row>
    <row r="559" customFormat="false" ht="15" hidden="false" customHeight="false" outlineLevel="0" collapsed="false">
      <c r="A559" s="9"/>
      <c r="B559" s="9"/>
      <c r="C559" s="9"/>
      <c r="D559" s="10"/>
      <c r="E559" s="10"/>
      <c r="F559" s="9"/>
      <c r="G559" s="9"/>
      <c r="H559" s="9"/>
      <c r="I559" s="10"/>
      <c r="J559" s="10"/>
    </row>
    <row r="560" customFormat="false" ht="15" hidden="false" customHeight="false" outlineLevel="0" collapsed="false">
      <c r="A560" s="9"/>
      <c r="B560" s="9"/>
      <c r="C560" s="9"/>
      <c r="D560" s="10"/>
      <c r="E560" s="10"/>
      <c r="F560" s="9"/>
      <c r="G560" s="9"/>
      <c r="H560" s="9"/>
      <c r="I560" s="10"/>
      <c r="J560" s="10"/>
    </row>
    <row r="561" customFormat="false" ht="15" hidden="false" customHeight="false" outlineLevel="0" collapsed="false">
      <c r="A561" s="9"/>
      <c r="B561" s="9"/>
      <c r="C561" s="9"/>
      <c r="D561" s="10"/>
      <c r="E561" s="10"/>
      <c r="F561" s="9"/>
      <c r="G561" s="9"/>
      <c r="H561" s="9"/>
      <c r="I561" s="10"/>
      <c r="J561" s="10"/>
    </row>
    <row r="562" customFormat="false" ht="15" hidden="false" customHeight="false" outlineLevel="0" collapsed="false">
      <c r="A562" s="9"/>
      <c r="B562" s="9"/>
      <c r="C562" s="9"/>
      <c r="D562" s="10"/>
      <c r="E562" s="10"/>
      <c r="F562" s="9"/>
      <c r="G562" s="9"/>
      <c r="H562" s="9"/>
      <c r="I562" s="10"/>
      <c r="J562" s="10"/>
    </row>
    <row r="563" customFormat="false" ht="15" hidden="false" customHeight="false" outlineLevel="0" collapsed="false">
      <c r="A563" s="9"/>
      <c r="B563" s="9"/>
      <c r="C563" s="9"/>
      <c r="D563" s="10"/>
      <c r="E563" s="10"/>
      <c r="F563" s="9"/>
      <c r="G563" s="9"/>
      <c r="H563" s="9"/>
      <c r="I563" s="10"/>
      <c r="J563" s="10"/>
    </row>
    <row r="564" customFormat="false" ht="15" hidden="false" customHeight="false" outlineLevel="0" collapsed="false">
      <c r="A564" s="9"/>
      <c r="B564" s="9"/>
      <c r="C564" s="9"/>
      <c r="D564" s="10"/>
      <c r="E564" s="10"/>
      <c r="F564" s="9"/>
      <c r="G564" s="9"/>
      <c r="H564" s="9"/>
      <c r="I564" s="10"/>
      <c r="J564" s="10"/>
    </row>
    <row r="565" customFormat="false" ht="15" hidden="false" customHeight="false" outlineLevel="0" collapsed="false">
      <c r="A565" s="9"/>
      <c r="B565" s="9"/>
      <c r="C565" s="9"/>
      <c r="D565" s="10"/>
      <c r="E565" s="10"/>
      <c r="F565" s="9"/>
      <c r="G565" s="9"/>
      <c r="H565" s="9"/>
      <c r="I565" s="10"/>
      <c r="J565" s="10"/>
    </row>
    <row r="566" customFormat="false" ht="15" hidden="false" customHeight="false" outlineLevel="0" collapsed="false">
      <c r="A566" s="9"/>
      <c r="B566" s="9"/>
      <c r="C566" s="9"/>
      <c r="D566" s="10"/>
      <c r="E566" s="10"/>
      <c r="F566" s="9"/>
      <c r="G566" s="9"/>
      <c r="H566" s="9"/>
      <c r="I566" s="10"/>
      <c r="J566" s="10"/>
    </row>
    <row r="567" customFormat="false" ht="15" hidden="false" customHeight="false" outlineLevel="0" collapsed="false">
      <c r="A567" s="9"/>
      <c r="B567" s="9"/>
      <c r="C567" s="9"/>
      <c r="D567" s="10"/>
      <c r="E567" s="10"/>
      <c r="F567" s="9"/>
      <c r="G567" s="9"/>
      <c r="H567" s="9"/>
      <c r="I567" s="10"/>
      <c r="J567" s="10"/>
    </row>
    <row r="568" customFormat="false" ht="15" hidden="false" customHeight="false" outlineLevel="0" collapsed="false">
      <c r="A568" s="9"/>
      <c r="B568" s="9"/>
      <c r="C568" s="9"/>
      <c r="D568" s="10"/>
      <c r="E568" s="10"/>
      <c r="F568" s="9"/>
      <c r="G568" s="9"/>
      <c r="H568" s="9"/>
      <c r="I568" s="10"/>
      <c r="J568" s="10"/>
    </row>
    <row r="569" customFormat="false" ht="15" hidden="false" customHeight="false" outlineLevel="0" collapsed="false">
      <c r="A569" s="9"/>
      <c r="B569" s="9"/>
      <c r="C569" s="9"/>
      <c r="D569" s="10"/>
      <c r="E569" s="10"/>
      <c r="F569" s="9"/>
      <c r="G569" s="9"/>
      <c r="H569" s="9"/>
      <c r="I569" s="10"/>
      <c r="J569" s="10"/>
    </row>
    <row r="570" customFormat="false" ht="15" hidden="false" customHeight="false" outlineLevel="0" collapsed="false">
      <c r="A570" s="9"/>
      <c r="B570" s="9"/>
      <c r="C570" s="9"/>
      <c r="D570" s="10"/>
      <c r="E570" s="10"/>
      <c r="F570" s="9"/>
      <c r="G570" s="9"/>
      <c r="H570" s="9"/>
      <c r="I570" s="10"/>
      <c r="J570" s="10"/>
    </row>
    <row r="571" customFormat="false" ht="15" hidden="false" customHeight="false" outlineLevel="0" collapsed="false">
      <c r="A571" s="9"/>
      <c r="B571" s="9"/>
      <c r="C571" s="9"/>
      <c r="D571" s="10"/>
      <c r="E571" s="10"/>
      <c r="F571" s="9"/>
      <c r="G571" s="9"/>
      <c r="H571" s="9"/>
      <c r="I571" s="10"/>
      <c r="J571" s="10"/>
    </row>
    <row r="572" customFormat="false" ht="15" hidden="false" customHeight="false" outlineLevel="0" collapsed="false">
      <c r="A572" s="9"/>
      <c r="B572" s="9"/>
      <c r="C572" s="9"/>
      <c r="D572" s="10"/>
      <c r="E572" s="10"/>
      <c r="F572" s="9"/>
      <c r="G572" s="9"/>
      <c r="H572" s="9"/>
      <c r="I572" s="10"/>
      <c r="J572" s="10"/>
    </row>
    <row r="573" customFormat="false" ht="15" hidden="false" customHeight="false" outlineLevel="0" collapsed="false">
      <c r="A573" s="9"/>
      <c r="B573" s="9"/>
      <c r="C573" s="9"/>
      <c r="D573" s="10"/>
      <c r="E573" s="10"/>
      <c r="F573" s="9"/>
      <c r="G573" s="9"/>
      <c r="H573" s="9"/>
      <c r="I573" s="10"/>
      <c r="J573" s="10"/>
    </row>
    <row r="574" customFormat="false" ht="15" hidden="false" customHeight="false" outlineLevel="0" collapsed="false">
      <c r="A574" s="9"/>
      <c r="B574" s="9"/>
      <c r="C574" s="9"/>
      <c r="D574" s="10"/>
      <c r="E574" s="10"/>
      <c r="F574" s="9"/>
      <c r="G574" s="9"/>
      <c r="H574" s="9"/>
      <c r="I574" s="10"/>
      <c r="J574" s="10"/>
    </row>
    <row r="575" customFormat="false" ht="15" hidden="false" customHeight="false" outlineLevel="0" collapsed="false">
      <c r="A575" s="9"/>
      <c r="B575" s="9"/>
      <c r="C575" s="9"/>
      <c r="D575" s="10"/>
      <c r="E575" s="10"/>
      <c r="F575" s="9"/>
      <c r="G575" s="9"/>
      <c r="H575" s="9"/>
      <c r="I575" s="10"/>
      <c r="J575" s="10"/>
    </row>
    <row r="576" customFormat="false" ht="15" hidden="false" customHeight="false" outlineLevel="0" collapsed="false">
      <c r="A576" s="9"/>
      <c r="B576" s="9"/>
      <c r="C576" s="9"/>
      <c r="D576" s="10"/>
      <c r="E576" s="10"/>
      <c r="F576" s="9"/>
      <c r="G576" s="9"/>
      <c r="H576" s="9"/>
      <c r="I576" s="10"/>
      <c r="J576" s="10"/>
    </row>
    <row r="577" customFormat="false" ht="15" hidden="false" customHeight="false" outlineLevel="0" collapsed="false">
      <c r="A577" s="9"/>
      <c r="B577" s="9"/>
      <c r="C577" s="9"/>
      <c r="D577" s="10"/>
      <c r="E577" s="10"/>
      <c r="F577" s="9"/>
      <c r="G577" s="9"/>
      <c r="H577" s="9"/>
      <c r="I577" s="10"/>
      <c r="J577" s="10"/>
    </row>
    <row r="578" customFormat="false" ht="15" hidden="false" customHeight="false" outlineLevel="0" collapsed="false">
      <c r="A578" s="9"/>
      <c r="B578" s="9"/>
      <c r="C578" s="9"/>
      <c r="D578" s="10"/>
      <c r="E578" s="10"/>
      <c r="F578" s="9"/>
      <c r="G578" s="9"/>
      <c r="H578" s="9"/>
      <c r="I578" s="10"/>
      <c r="J578" s="10"/>
    </row>
    <row r="579" customFormat="false" ht="15" hidden="false" customHeight="false" outlineLevel="0" collapsed="false">
      <c r="A579" s="9"/>
      <c r="B579" s="9"/>
      <c r="C579" s="9"/>
      <c r="D579" s="10"/>
      <c r="E579" s="10"/>
      <c r="F579" s="9"/>
      <c r="G579" s="9"/>
      <c r="H579" s="9"/>
      <c r="I579" s="10"/>
      <c r="J579" s="10"/>
    </row>
    <row r="580" customFormat="false" ht="15" hidden="false" customHeight="false" outlineLevel="0" collapsed="false">
      <c r="A580" s="9"/>
      <c r="B580" s="9"/>
      <c r="C580" s="9"/>
      <c r="D580" s="10"/>
      <c r="E580" s="10"/>
      <c r="F580" s="9"/>
      <c r="G580" s="9"/>
      <c r="H580" s="9"/>
      <c r="I580" s="10"/>
      <c r="J580" s="10"/>
    </row>
    <row r="581" customFormat="false" ht="15" hidden="false" customHeight="false" outlineLevel="0" collapsed="false">
      <c r="A581" s="9"/>
      <c r="B581" s="9"/>
      <c r="C581" s="9"/>
      <c r="D581" s="10"/>
      <c r="E581" s="10"/>
      <c r="F581" s="9"/>
      <c r="G581" s="9"/>
      <c r="H581" s="9"/>
      <c r="I581" s="10"/>
      <c r="J581" s="10"/>
    </row>
    <row r="582" customFormat="false" ht="15" hidden="false" customHeight="false" outlineLevel="0" collapsed="false">
      <c r="A582" s="9"/>
      <c r="B582" s="9"/>
      <c r="C582" s="9"/>
      <c r="D582" s="10"/>
      <c r="E582" s="10"/>
      <c r="F582" s="9"/>
      <c r="G582" s="9"/>
      <c r="H582" s="9"/>
      <c r="I582" s="10"/>
      <c r="J582" s="10"/>
    </row>
    <row r="583" customFormat="false" ht="15" hidden="false" customHeight="false" outlineLevel="0" collapsed="false">
      <c r="A583" s="9"/>
      <c r="B583" s="9"/>
      <c r="C583" s="9"/>
      <c r="D583" s="10"/>
      <c r="E583" s="10"/>
      <c r="F583" s="9"/>
      <c r="G583" s="9"/>
      <c r="H583" s="9"/>
      <c r="I583" s="10"/>
      <c r="J583" s="10"/>
    </row>
    <row r="584" customFormat="false" ht="15" hidden="false" customHeight="false" outlineLevel="0" collapsed="false">
      <c r="A584" s="9"/>
      <c r="B584" s="9"/>
      <c r="C584" s="9"/>
      <c r="D584" s="10"/>
      <c r="E584" s="10"/>
      <c r="F584" s="9"/>
      <c r="G584" s="9"/>
      <c r="H584" s="9"/>
      <c r="I584" s="10"/>
      <c r="J584" s="10"/>
    </row>
    <row r="585" customFormat="false" ht="15" hidden="false" customHeight="false" outlineLevel="0" collapsed="false">
      <c r="A585" s="9"/>
      <c r="B585" s="9"/>
      <c r="C585" s="9"/>
      <c r="D585" s="10"/>
      <c r="E585" s="10"/>
      <c r="F585" s="9"/>
      <c r="G585" s="9"/>
      <c r="H585" s="9"/>
      <c r="I585" s="10"/>
      <c r="J585" s="10"/>
    </row>
    <row r="586" customFormat="false" ht="15" hidden="false" customHeight="false" outlineLevel="0" collapsed="false">
      <c r="A586" s="9"/>
      <c r="B586" s="9"/>
      <c r="C586" s="9"/>
      <c r="D586" s="10"/>
      <c r="E586" s="10"/>
      <c r="F586" s="9"/>
      <c r="G586" s="9"/>
      <c r="H586" s="9"/>
      <c r="I586" s="10"/>
      <c r="J586" s="10"/>
    </row>
    <row r="587" customFormat="false" ht="15" hidden="false" customHeight="false" outlineLevel="0" collapsed="false">
      <c r="A587" s="9"/>
      <c r="B587" s="9"/>
      <c r="C587" s="9"/>
      <c r="D587" s="10"/>
      <c r="E587" s="10"/>
      <c r="F587" s="9"/>
      <c r="G587" s="9"/>
      <c r="H587" s="9"/>
      <c r="I587" s="10"/>
      <c r="J587" s="10"/>
    </row>
    <row r="588" customFormat="false" ht="15" hidden="false" customHeight="false" outlineLevel="0" collapsed="false">
      <c r="A588" s="9"/>
      <c r="B588" s="9"/>
      <c r="C588" s="9"/>
      <c r="D588" s="10"/>
      <c r="E588" s="10"/>
      <c r="F588" s="9"/>
      <c r="G588" s="9"/>
      <c r="H588" s="9"/>
      <c r="I588" s="10"/>
      <c r="J588" s="10"/>
    </row>
    <row r="589" customFormat="false" ht="15" hidden="false" customHeight="false" outlineLevel="0" collapsed="false">
      <c r="A589" s="9"/>
      <c r="B589" s="9"/>
      <c r="C589" s="9"/>
      <c r="D589" s="10"/>
      <c r="E589" s="10"/>
      <c r="F589" s="9"/>
      <c r="G589" s="9"/>
      <c r="H589" s="9"/>
      <c r="I589" s="10"/>
      <c r="J589" s="10"/>
    </row>
    <row r="590" customFormat="false" ht="15" hidden="false" customHeight="false" outlineLevel="0" collapsed="false">
      <c r="A590" s="9"/>
      <c r="B590" s="9"/>
      <c r="C590" s="9"/>
      <c r="D590" s="10"/>
      <c r="E590" s="10"/>
      <c r="F590" s="9"/>
      <c r="G590" s="9"/>
      <c r="H590" s="9"/>
      <c r="I590" s="10"/>
      <c r="J590" s="10"/>
    </row>
    <row r="591" customFormat="false" ht="15" hidden="false" customHeight="false" outlineLevel="0" collapsed="false">
      <c r="A591" s="9"/>
      <c r="B591" s="9"/>
      <c r="C591" s="9"/>
      <c r="D591" s="10"/>
      <c r="E591" s="10"/>
      <c r="F591" s="9"/>
      <c r="G591" s="9"/>
      <c r="H591" s="9"/>
      <c r="I591" s="10"/>
      <c r="J591" s="10"/>
    </row>
    <row r="592" customFormat="false" ht="15" hidden="false" customHeight="false" outlineLevel="0" collapsed="false">
      <c r="A592" s="9"/>
      <c r="B592" s="9"/>
      <c r="C592" s="9"/>
      <c r="D592" s="10"/>
      <c r="E592" s="10"/>
      <c r="F592" s="9"/>
      <c r="G592" s="9"/>
      <c r="H592" s="9"/>
      <c r="I592" s="10"/>
      <c r="J592" s="10"/>
    </row>
    <row r="593" customFormat="false" ht="15" hidden="false" customHeight="false" outlineLevel="0" collapsed="false">
      <c r="A593" s="9"/>
      <c r="B593" s="9"/>
      <c r="C593" s="9"/>
      <c r="D593" s="10"/>
      <c r="E593" s="10"/>
      <c r="F593" s="9"/>
      <c r="G593" s="9"/>
      <c r="H593" s="9"/>
      <c r="I593" s="10"/>
      <c r="J593" s="10"/>
    </row>
    <row r="594" customFormat="false" ht="15" hidden="false" customHeight="false" outlineLevel="0" collapsed="false">
      <c r="A594" s="9"/>
      <c r="B594" s="9"/>
      <c r="C594" s="9"/>
      <c r="D594" s="10"/>
      <c r="E594" s="10"/>
      <c r="F594" s="9"/>
      <c r="G594" s="9"/>
      <c r="H594" s="9"/>
      <c r="I594" s="10"/>
      <c r="J594" s="10"/>
    </row>
    <row r="595" customFormat="false" ht="15" hidden="false" customHeight="false" outlineLevel="0" collapsed="false">
      <c r="A595" s="9"/>
      <c r="B595" s="9"/>
      <c r="C595" s="9"/>
      <c r="D595" s="10"/>
      <c r="E595" s="10"/>
      <c r="F595" s="9"/>
      <c r="G595" s="9"/>
      <c r="H595" s="9"/>
      <c r="I595" s="10"/>
      <c r="J595" s="10"/>
    </row>
    <row r="596" customFormat="false" ht="15" hidden="false" customHeight="false" outlineLevel="0" collapsed="false">
      <c r="A596" s="9"/>
      <c r="B596" s="9"/>
      <c r="C596" s="9"/>
      <c r="D596" s="10"/>
      <c r="E596" s="10"/>
      <c r="F596" s="9"/>
      <c r="G596" s="9"/>
      <c r="H596" s="9"/>
      <c r="I596" s="10"/>
      <c r="J596" s="10"/>
    </row>
    <row r="597" customFormat="false" ht="15" hidden="false" customHeight="false" outlineLevel="0" collapsed="false">
      <c r="A597" s="9"/>
      <c r="B597" s="9"/>
      <c r="C597" s="9"/>
      <c r="D597" s="10"/>
      <c r="E597" s="10"/>
      <c r="F597" s="9"/>
      <c r="G597" s="9"/>
      <c r="H597" s="9"/>
      <c r="I597" s="10"/>
      <c r="J597" s="10"/>
    </row>
    <row r="598" customFormat="false" ht="15" hidden="false" customHeight="false" outlineLevel="0" collapsed="false">
      <c r="A598" s="9"/>
      <c r="B598" s="9"/>
      <c r="C598" s="9"/>
      <c r="D598" s="10"/>
      <c r="E598" s="10"/>
      <c r="F598" s="9"/>
      <c r="G598" s="9"/>
      <c r="H598" s="9"/>
      <c r="I598" s="10"/>
      <c r="J598" s="10"/>
    </row>
    <row r="599" customFormat="false" ht="15" hidden="false" customHeight="false" outlineLevel="0" collapsed="false">
      <c r="A599" s="9"/>
      <c r="B599" s="9"/>
      <c r="C599" s="9"/>
      <c r="D599" s="10"/>
      <c r="E599" s="10"/>
      <c r="F599" s="9"/>
      <c r="G599" s="9"/>
      <c r="H599" s="9"/>
      <c r="I599" s="10"/>
      <c r="J599" s="10"/>
    </row>
    <row r="600" customFormat="false" ht="15" hidden="false" customHeight="false" outlineLevel="0" collapsed="false">
      <c r="A600" s="9"/>
      <c r="B600" s="9"/>
      <c r="C600" s="9"/>
      <c r="D600" s="10"/>
      <c r="E600" s="10"/>
      <c r="F600" s="9"/>
      <c r="G600" s="9"/>
      <c r="H600" s="9"/>
      <c r="I600" s="10"/>
      <c r="J600" s="10"/>
    </row>
    <row r="601" customFormat="false" ht="15" hidden="false" customHeight="false" outlineLevel="0" collapsed="false">
      <c r="A601" s="9"/>
      <c r="B601" s="9"/>
      <c r="C601" s="9"/>
      <c r="D601" s="10"/>
      <c r="E601" s="10"/>
      <c r="F601" s="9"/>
      <c r="G601" s="9"/>
      <c r="H601" s="9"/>
      <c r="I601" s="10"/>
      <c r="J601" s="10"/>
    </row>
    <row r="602" customFormat="false" ht="15" hidden="false" customHeight="false" outlineLevel="0" collapsed="false">
      <c r="A602" s="9"/>
      <c r="B602" s="9"/>
      <c r="C602" s="9"/>
      <c r="D602" s="10"/>
      <c r="E602" s="10"/>
      <c r="F602" s="9"/>
      <c r="G602" s="9"/>
      <c r="H602" s="9"/>
      <c r="I602" s="10"/>
      <c r="J602" s="10"/>
    </row>
    <row r="603" customFormat="false" ht="15" hidden="false" customHeight="false" outlineLevel="0" collapsed="false">
      <c r="A603" s="9"/>
      <c r="B603" s="9"/>
      <c r="C603" s="9"/>
      <c r="D603" s="10"/>
      <c r="E603" s="10"/>
      <c r="F603" s="9"/>
      <c r="G603" s="9"/>
      <c r="H603" s="9"/>
      <c r="I603" s="10"/>
      <c r="J603" s="10"/>
    </row>
    <row r="604" customFormat="false" ht="15" hidden="false" customHeight="false" outlineLevel="0" collapsed="false">
      <c r="A604" s="9"/>
      <c r="B604" s="9"/>
      <c r="C604" s="9"/>
      <c r="D604" s="10"/>
      <c r="E604" s="10"/>
      <c r="F604" s="9"/>
      <c r="G604" s="9"/>
      <c r="H604" s="9"/>
      <c r="I604" s="10"/>
      <c r="J604" s="10"/>
    </row>
    <row r="605" customFormat="false" ht="15" hidden="false" customHeight="false" outlineLevel="0" collapsed="false">
      <c r="A605" s="9"/>
      <c r="B605" s="9"/>
      <c r="C605" s="9"/>
      <c r="D605" s="10"/>
      <c r="E605" s="10"/>
      <c r="F605" s="9"/>
      <c r="G605" s="9"/>
      <c r="H605" s="9"/>
      <c r="I605" s="10"/>
      <c r="J605" s="10"/>
    </row>
    <row r="606" customFormat="false" ht="15" hidden="false" customHeight="false" outlineLevel="0" collapsed="false">
      <c r="A606" s="9"/>
      <c r="B606" s="9"/>
      <c r="C606" s="9"/>
      <c r="D606" s="10"/>
      <c r="E606" s="10"/>
      <c r="F606" s="9"/>
      <c r="G606" s="9"/>
      <c r="H606" s="9"/>
      <c r="I606" s="10"/>
      <c r="J606" s="10"/>
    </row>
    <row r="607" customFormat="false" ht="15" hidden="false" customHeight="false" outlineLevel="0" collapsed="false">
      <c r="A607" s="9"/>
      <c r="B607" s="9"/>
      <c r="C607" s="9"/>
      <c r="D607" s="10"/>
      <c r="E607" s="10"/>
      <c r="F607" s="9"/>
      <c r="G607" s="9"/>
      <c r="H607" s="9"/>
      <c r="I607" s="10"/>
      <c r="J607" s="10"/>
    </row>
    <row r="608" customFormat="false" ht="15" hidden="false" customHeight="false" outlineLevel="0" collapsed="false">
      <c r="A608" s="9"/>
      <c r="B608" s="9"/>
      <c r="C608" s="9"/>
      <c r="D608" s="10"/>
      <c r="E608" s="10"/>
      <c r="F608" s="9"/>
      <c r="G608" s="9"/>
      <c r="H608" s="9"/>
      <c r="I608" s="10"/>
      <c r="J608" s="10"/>
    </row>
    <row r="609" customFormat="false" ht="15" hidden="false" customHeight="false" outlineLevel="0" collapsed="false">
      <c r="A609" s="9"/>
      <c r="B609" s="9"/>
      <c r="C609" s="9"/>
      <c r="D609" s="10"/>
      <c r="E609" s="10"/>
      <c r="F609" s="9"/>
      <c r="G609" s="9"/>
      <c r="H609" s="9"/>
      <c r="I609" s="10"/>
      <c r="J609" s="10"/>
    </row>
    <row r="610" customFormat="false" ht="15" hidden="false" customHeight="false" outlineLevel="0" collapsed="false">
      <c r="A610" s="9"/>
      <c r="B610" s="9"/>
      <c r="C610" s="9"/>
      <c r="D610" s="10"/>
      <c r="E610" s="10"/>
      <c r="F610" s="9"/>
      <c r="G610" s="9"/>
      <c r="H610" s="9"/>
      <c r="I610" s="10"/>
      <c r="J610" s="10"/>
    </row>
    <row r="611" customFormat="false" ht="15" hidden="false" customHeight="false" outlineLevel="0" collapsed="false">
      <c r="A611" s="9"/>
      <c r="B611" s="9"/>
      <c r="C611" s="9"/>
      <c r="D611" s="10"/>
      <c r="E611" s="10"/>
      <c r="F611" s="9"/>
      <c r="G611" s="9"/>
      <c r="H611" s="9"/>
      <c r="I611" s="10"/>
      <c r="J611" s="10"/>
    </row>
    <row r="612" customFormat="false" ht="15" hidden="false" customHeight="false" outlineLevel="0" collapsed="false">
      <c r="A612" s="9"/>
      <c r="B612" s="9"/>
      <c r="C612" s="9"/>
      <c r="D612" s="10"/>
      <c r="E612" s="10"/>
      <c r="F612" s="9"/>
      <c r="G612" s="9"/>
      <c r="H612" s="9"/>
      <c r="I612" s="10"/>
      <c r="J612" s="10"/>
    </row>
  </sheetData>
  <dataValidations count="3">
    <dataValidation allowBlank="true" errorStyle="stop" operator="between" showDropDown="false" showErrorMessage="false" showInputMessage="false" sqref="C13:C612" type="list">
      <formula1>Reference!$E$4:$E$10</formula1>
      <formula2>0</formula2>
    </dataValidation>
    <dataValidation allowBlank="true" errorStyle="stop" operator="between" showDropDown="false" showErrorMessage="false" showInputMessage="false" sqref="G13:G612" type="list">
      <formula1>Reference!$F$4:$F$7</formula1>
      <formula2>0</formula2>
    </dataValidation>
    <dataValidation allowBlank="true" errorStyle="stop" operator="between" showDropDown="false" showErrorMessage="false" showInputMessage="false" sqref="H13:H612" type="list">
      <formula1>Reference!$G$4:$G$6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6.1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6" t="s">
        <v>115</v>
      </c>
    </row>
    <row r="4" customFormat="false" ht="15" hidden="false" customHeight="false" outlineLevel="0" collapsed="false">
      <c r="A4" s="11" t="s">
        <v>74</v>
      </c>
      <c r="B4" s="11" t="s">
        <v>116</v>
      </c>
      <c r="C4" s="11" t="s">
        <v>117</v>
      </c>
      <c r="D4" s="11" t="s">
        <v>118</v>
      </c>
      <c r="E4" s="11" t="s">
        <v>119</v>
      </c>
    </row>
    <row r="5" customFormat="false" ht="15" hidden="false" customHeight="false" outlineLevel="0" collapsed="false">
      <c r="A5" s="10" t="str">
        <f aca="false">IF('1 Pieces'!A6="","",'1 Pieces'!A6)</f>
        <v/>
      </c>
      <c r="B5" s="10" t="str">
        <f aca="false">IF(A5="","",IFERROR(INDEX('1 Pieces'!H:H,MATCH(A5,'1 Pieces'!A:A,0)),""))</f>
        <v/>
      </c>
      <c r="C5" s="10" t="str">
        <f aca="false">IF(A5="","",SUMPRODUCT(('2 BOM lines'!$A$5:$A$612=A5)*('2 BOM lines'!$C$5:$C$612&lt;&gt;"MAKING")*IFERROR('2 BOM lines'!$F$5:$F$612,0)*IF('2 BOM lines'!$G$5:$G$612="CT",0.2,IF('2 BOM lines'!$G$5:$G$612="RATTI",0.1215,IF('2 BOM lines'!$G$5:$G$612="GM",1,0)))))</f>
        <v/>
      </c>
      <c r="D5" s="10" t="str">
        <f aca="false">IF(A5="","",ROUND(B5-C5,3))</f>
        <v/>
      </c>
      <c r="E5" s="12" t="str">
        <f aca="false">IF(A5="","",IF(ABS(D5)&lt;=0.05,"OK","CHECK THIS PIECE"))</f>
        <v/>
      </c>
    </row>
    <row r="6" customFormat="false" ht="15" hidden="false" customHeight="false" outlineLevel="0" collapsed="false">
      <c r="A6" s="10" t="str">
        <f aca="false">IF('1 Pieces'!A7="","",'1 Pieces'!A7)</f>
        <v/>
      </c>
      <c r="B6" s="10" t="str">
        <f aca="false">IF(A6="","",IFERROR(INDEX('1 Pieces'!H:H,MATCH(A6,'1 Pieces'!A:A,0)),""))</f>
        <v/>
      </c>
      <c r="C6" s="10" t="str">
        <f aca="false">IF(A6="","",SUMPRODUCT(('2 BOM lines'!$A$5:$A$612=A6)*('2 BOM lines'!$C$5:$C$612&lt;&gt;"MAKING")*IFERROR('2 BOM lines'!$F$5:$F$612,0)*IF('2 BOM lines'!$G$5:$G$612="CT",0.2,IF('2 BOM lines'!$G$5:$G$612="RATTI",0.1215,IF('2 BOM lines'!$G$5:$G$612="GM",1,0)))))</f>
        <v/>
      </c>
      <c r="D6" s="10" t="str">
        <f aca="false">IF(A6="","",ROUND(B6-C6,3))</f>
        <v/>
      </c>
      <c r="E6" s="12" t="str">
        <f aca="false">IF(A6="","",IF(ABS(D6)&lt;=0.05,"OK","CHECK THIS PIECE"))</f>
        <v/>
      </c>
    </row>
    <row r="7" customFormat="false" ht="15" hidden="false" customHeight="false" outlineLevel="0" collapsed="false">
      <c r="A7" s="10" t="str">
        <f aca="false">IF('1 Pieces'!A8="","",'1 Pieces'!A8)</f>
        <v/>
      </c>
      <c r="B7" s="10" t="str">
        <f aca="false">IF(A7="","",IFERROR(INDEX('1 Pieces'!H:H,MATCH(A7,'1 Pieces'!A:A,0)),""))</f>
        <v/>
      </c>
      <c r="C7" s="10" t="str">
        <f aca="false">IF(A7="","",SUMPRODUCT(('2 BOM lines'!$A$5:$A$612=A7)*('2 BOM lines'!$C$5:$C$612&lt;&gt;"MAKING")*IFERROR('2 BOM lines'!$F$5:$F$612,0)*IF('2 BOM lines'!$G$5:$G$612="CT",0.2,IF('2 BOM lines'!$G$5:$G$612="RATTI",0.1215,IF('2 BOM lines'!$G$5:$G$612="GM",1,0)))))</f>
        <v/>
      </c>
      <c r="D7" s="10" t="str">
        <f aca="false">IF(A7="","",ROUND(B7-C7,3))</f>
        <v/>
      </c>
      <c r="E7" s="12" t="str">
        <f aca="false">IF(A7="","",IF(ABS(D7)&lt;=0.05,"OK","CHECK THIS PIECE"))</f>
        <v/>
      </c>
    </row>
    <row r="8" customFormat="false" ht="15" hidden="false" customHeight="false" outlineLevel="0" collapsed="false">
      <c r="A8" s="10" t="str">
        <f aca="false">IF('1 Pieces'!A9="","",'1 Pieces'!A9)</f>
        <v/>
      </c>
      <c r="B8" s="10" t="str">
        <f aca="false">IF(A8="","",IFERROR(INDEX('1 Pieces'!H:H,MATCH(A8,'1 Pieces'!A:A,0)),""))</f>
        <v/>
      </c>
      <c r="C8" s="10" t="str">
        <f aca="false">IF(A8="","",SUMPRODUCT(('2 BOM lines'!$A$5:$A$612=A8)*('2 BOM lines'!$C$5:$C$612&lt;&gt;"MAKING")*IFERROR('2 BOM lines'!$F$5:$F$612,0)*IF('2 BOM lines'!$G$5:$G$612="CT",0.2,IF('2 BOM lines'!$G$5:$G$612="RATTI",0.1215,IF('2 BOM lines'!$G$5:$G$612="GM",1,0)))))</f>
        <v/>
      </c>
      <c r="D8" s="10" t="str">
        <f aca="false">IF(A8="","",ROUND(B8-C8,3))</f>
        <v/>
      </c>
      <c r="E8" s="12" t="str">
        <f aca="false">IF(A8="","",IF(ABS(D8)&lt;=0.05,"OK","CHECK THIS PIECE"))</f>
        <v/>
      </c>
    </row>
    <row r="9" customFormat="false" ht="15" hidden="false" customHeight="false" outlineLevel="0" collapsed="false">
      <c r="A9" s="10" t="str">
        <f aca="false">IF('1 Pieces'!A10="","",'1 Pieces'!A10)</f>
        <v/>
      </c>
      <c r="B9" s="10" t="str">
        <f aca="false">IF(A9="","",IFERROR(INDEX('1 Pieces'!H:H,MATCH(A9,'1 Pieces'!A:A,0)),""))</f>
        <v/>
      </c>
      <c r="C9" s="10" t="str">
        <f aca="false">IF(A9="","",SUMPRODUCT(('2 BOM lines'!$A$5:$A$612=A9)*('2 BOM lines'!$C$5:$C$612&lt;&gt;"MAKING")*IFERROR('2 BOM lines'!$F$5:$F$612,0)*IF('2 BOM lines'!$G$5:$G$612="CT",0.2,IF('2 BOM lines'!$G$5:$G$612="RATTI",0.1215,IF('2 BOM lines'!$G$5:$G$612="GM",1,0)))))</f>
        <v/>
      </c>
      <c r="D9" s="10" t="str">
        <f aca="false">IF(A9="","",ROUND(B9-C9,3))</f>
        <v/>
      </c>
      <c r="E9" s="12" t="str">
        <f aca="false">IF(A9="","",IF(ABS(D9)&lt;=0.05,"OK","CHECK THIS PIECE"))</f>
        <v/>
      </c>
    </row>
    <row r="10" customFormat="false" ht="15" hidden="false" customHeight="false" outlineLevel="0" collapsed="false">
      <c r="A10" s="10" t="str">
        <f aca="false">IF('1 Pieces'!A11="","",'1 Pieces'!A11)</f>
        <v/>
      </c>
      <c r="B10" s="10" t="str">
        <f aca="false">IF(A10="","",IFERROR(INDEX('1 Pieces'!H:H,MATCH(A10,'1 Pieces'!A:A,0)),""))</f>
        <v/>
      </c>
      <c r="C10" s="10" t="str">
        <f aca="false">IF(A10="","",SUMPRODUCT(('2 BOM lines'!$A$5:$A$612=A10)*('2 BOM lines'!$C$5:$C$612&lt;&gt;"MAKING")*IFERROR('2 BOM lines'!$F$5:$F$612,0)*IF('2 BOM lines'!$G$5:$G$612="CT",0.2,IF('2 BOM lines'!$G$5:$G$612="RATTI",0.1215,IF('2 BOM lines'!$G$5:$G$612="GM",1,0)))))</f>
        <v/>
      </c>
      <c r="D10" s="10" t="str">
        <f aca="false">IF(A10="","",ROUND(B10-C10,3))</f>
        <v/>
      </c>
      <c r="E10" s="12" t="str">
        <f aca="false">IF(A10="","",IF(ABS(D10)&lt;=0.05,"OK","CHECK THIS PIECE"))</f>
        <v/>
      </c>
    </row>
    <row r="11" customFormat="false" ht="15" hidden="false" customHeight="false" outlineLevel="0" collapsed="false">
      <c r="A11" s="10" t="str">
        <f aca="false">IF('1 Pieces'!A12="","",'1 Pieces'!A12)</f>
        <v/>
      </c>
      <c r="B11" s="10" t="str">
        <f aca="false">IF(A11="","",IFERROR(INDEX('1 Pieces'!H:H,MATCH(A11,'1 Pieces'!A:A,0)),""))</f>
        <v/>
      </c>
      <c r="C11" s="10" t="str">
        <f aca="false">IF(A11="","",SUMPRODUCT(('2 BOM lines'!$A$5:$A$612=A11)*('2 BOM lines'!$C$5:$C$612&lt;&gt;"MAKING")*IFERROR('2 BOM lines'!$F$5:$F$612,0)*IF('2 BOM lines'!$G$5:$G$612="CT",0.2,IF('2 BOM lines'!$G$5:$G$612="RATTI",0.1215,IF('2 BOM lines'!$G$5:$G$612="GM",1,0)))))</f>
        <v/>
      </c>
      <c r="D11" s="10" t="str">
        <f aca="false">IF(A11="","",ROUND(B11-C11,3))</f>
        <v/>
      </c>
      <c r="E11" s="12" t="str">
        <f aca="false">IF(A11="","",IF(ABS(D11)&lt;=0.05,"OK","CHECK THIS PIECE"))</f>
        <v/>
      </c>
    </row>
    <row r="12" customFormat="false" ht="15" hidden="false" customHeight="false" outlineLevel="0" collapsed="false">
      <c r="A12" s="10" t="str">
        <f aca="false">IF('1 Pieces'!A13="","",'1 Pieces'!A13)</f>
        <v/>
      </c>
      <c r="B12" s="10" t="str">
        <f aca="false">IF(A12="","",IFERROR(INDEX('1 Pieces'!H:H,MATCH(A12,'1 Pieces'!A:A,0)),""))</f>
        <v/>
      </c>
      <c r="C12" s="10" t="str">
        <f aca="false">IF(A12="","",SUMPRODUCT(('2 BOM lines'!$A$5:$A$612=A12)*('2 BOM lines'!$C$5:$C$612&lt;&gt;"MAKING")*IFERROR('2 BOM lines'!$F$5:$F$612,0)*IF('2 BOM lines'!$G$5:$G$612="CT",0.2,IF('2 BOM lines'!$G$5:$G$612="RATTI",0.1215,IF('2 BOM lines'!$G$5:$G$612="GM",1,0)))))</f>
        <v/>
      </c>
      <c r="D12" s="10" t="str">
        <f aca="false">IF(A12="","",ROUND(B12-C12,3))</f>
        <v/>
      </c>
      <c r="E12" s="12" t="str">
        <f aca="false">IF(A12="","",IF(ABS(D12)&lt;=0.05,"OK","CHECK THIS PIECE"))</f>
        <v/>
      </c>
    </row>
    <row r="13" customFormat="false" ht="15" hidden="false" customHeight="false" outlineLevel="0" collapsed="false">
      <c r="A13" s="10" t="str">
        <f aca="false">IF('1 Pieces'!A14="","",'1 Pieces'!A14)</f>
        <v/>
      </c>
      <c r="B13" s="10" t="str">
        <f aca="false">IF(A13="","",IFERROR(INDEX('1 Pieces'!H:H,MATCH(A13,'1 Pieces'!A:A,0)),""))</f>
        <v/>
      </c>
      <c r="C13" s="10" t="str">
        <f aca="false">IF(A13="","",SUMPRODUCT(('2 BOM lines'!$A$5:$A$612=A13)*('2 BOM lines'!$C$5:$C$612&lt;&gt;"MAKING")*IFERROR('2 BOM lines'!$F$5:$F$612,0)*IF('2 BOM lines'!$G$5:$G$612="CT",0.2,IF('2 BOM lines'!$G$5:$G$612="RATTI",0.1215,IF('2 BOM lines'!$G$5:$G$612="GM",1,0)))))</f>
        <v/>
      </c>
      <c r="D13" s="10" t="str">
        <f aca="false">IF(A13="","",ROUND(B13-C13,3))</f>
        <v/>
      </c>
      <c r="E13" s="12" t="str">
        <f aca="false">IF(A13="","",IF(ABS(D13)&lt;=0.05,"OK","CHECK THIS PIECE"))</f>
        <v/>
      </c>
    </row>
    <row r="14" customFormat="false" ht="15" hidden="false" customHeight="false" outlineLevel="0" collapsed="false">
      <c r="A14" s="10" t="str">
        <f aca="false">IF('1 Pieces'!A15="","",'1 Pieces'!A15)</f>
        <v/>
      </c>
      <c r="B14" s="10" t="str">
        <f aca="false">IF(A14="","",IFERROR(INDEX('1 Pieces'!H:H,MATCH(A14,'1 Pieces'!A:A,0)),""))</f>
        <v/>
      </c>
      <c r="C14" s="10" t="str">
        <f aca="false">IF(A14="","",SUMPRODUCT(('2 BOM lines'!$A$5:$A$612=A14)*('2 BOM lines'!$C$5:$C$612&lt;&gt;"MAKING")*IFERROR('2 BOM lines'!$F$5:$F$612,0)*IF('2 BOM lines'!$G$5:$G$612="CT",0.2,IF('2 BOM lines'!$G$5:$G$612="RATTI",0.1215,IF('2 BOM lines'!$G$5:$G$612="GM",1,0)))))</f>
        <v/>
      </c>
      <c r="D14" s="10" t="str">
        <f aca="false">IF(A14="","",ROUND(B14-C14,3))</f>
        <v/>
      </c>
      <c r="E14" s="12" t="str">
        <f aca="false">IF(A14="","",IF(ABS(D14)&lt;=0.05,"OK","CHECK THIS PIECE"))</f>
        <v/>
      </c>
    </row>
    <row r="15" customFormat="false" ht="15" hidden="false" customHeight="false" outlineLevel="0" collapsed="false">
      <c r="A15" s="10" t="str">
        <f aca="false">IF('1 Pieces'!A16="","",'1 Pieces'!A16)</f>
        <v/>
      </c>
      <c r="B15" s="10" t="str">
        <f aca="false">IF(A15="","",IFERROR(INDEX('1 Pieces'!H:H,MATCH(A15,'1 Pieces'!A:A,0)),""))</f>
        <v/>
      </c>
      <c r="C15" s="10" t="str">
        <f aca="false">IF(A15="","",SUMPRODUCT(('2 BOM lines'!$A$5:$A$612=A15)*('2 BOM lines'!$C$5:$C$612&lt;&gt;"MAKING")*IFERROR('2 BOM lines'!$F$5:$F$612,0)*IF('2 BOM lines'!$G$5:$G$612="CT",0.2,IF('2 BOM lines'!$G$5:$G$612="RATTI",0.1215,IF('2 BOM lines'!$G$5:$G$612="GM",1,0)))))</f>
        <v/>
      </c>
      <c r="D15" s="10" t="str">
        <f aca="false">IF(A15="","",ROUND(B15-C15,3))</f>
        <v/>
      </c>
      <c r="E15" s="12" t="str">
        <f aca="false">IF(A15="","",IF(ABS(D15)&lt;=0.05,"OK","CHECK THIS PIECE"))</f>
        <v/>
      </c>
    </row>
    <row r="16" customFormat="false" ht="15" hidden="false" customHeight="false" outlineLevel="0" collapsed="false">
      <c r="A16" s="10" t="str">
        <f aca="false">IF('1 Pieces'!A17="","",'1 Pieces'!A17)</f>
        <v/>
      </c>
      <c r="B16" s="10" t="str">
        <f aca="false">IF(A16="","",IFERROR(INDEX('1 Pieces'!H:H,MATCH(A16,'1 Pieces'!A:A,0)),""))</f>
        <v/>
      </c>
      <c r="C16" s="10" t="str">
        <f aca="false">IF(A16="","",SUMPRODUCT(('2 BOM lines'!$A$5:$A$612=A16)*('2 BOM lines'!$C$5:$C$612&lt;&gt;"MAKING")*IFERROR('2 BOM lines'!$F$5:$F$612,0)*IF('2 BOM lines'!$G$5:$G$612="CT",0.2,IF('2 BOM lines'!$G$5:$G$612="RATTI",0.1215,IF('2 BOM lines'!$G$5:$G$612="GM",1,0)))))</f>
        <v/>
      </c>
      <c r="D16" s="10" t="str">
        <f aca="false">IF(A16="","",ROUND(B16-C16,3))</f>
        <v/>
      </c>
      <c r="E16" s="12" t="str">
        <f aca="false">IF(A16="","",IF(ABS(D16)&lt;=0.05,"OK","CHECK THIS PIECE"))</f>
        <v/>
      </c>
    </row>
    <row r="17" customFormat="false" ht="15" hidden="false" customHeight="false" outlineLevel="0" collapsed="false">
      <c r="A17" s="10" t="str">
        <f aca="false">IF('1 Pieces'!A18="","",'1 Pieces'!A18)</f>
        <v/>
      </c>
      <c r="B17" s="10" t="str">
        <f aca="false">IF(A17="","",IFERROR(INDEX('1 Pieces'!H:H,MATCH(A17,'1 Pieces'!A:A,0)),""))</f>
        <v/>
      </c>
      <c r="C17" s="10" t="str">
        <f aca="false">IF(A17="","",SUMPRODUCT(('2 BOM lines'!$A$5:$A$612=A17)*('2 BOM lines'!$C$5:$C$612&lt;&gt;"MAKING")*IFERROR('2 BOM lines'!$F$5:$F$612,0)*IF('2 BOM lines'!$G$5:$G$612="CT",0.2,IF('2 BOM lines'!$G$5:$G$612="RATTI",0.1215,IF('2 BOM lines'!$G$5:$G$612="GM",1,0)))))</f>
        <v/>
      </c>
      <c r="D17" s="10" t="str">
        <f aca="false">IF(A17="","",ROUND(B17-C17,3))</f>
        <v/>
      </c>
      <c r="E17" s="12" t="str">
        <f aca="false">IF(A17="","",IF(ABS(D17)&lt;=0.05,"OK","CHECK THIS PIECE"))</f>
        <v/>
      </c>
    </row>
    <row r="18" customFormat="false" ht="15" hidden="false" customHeight="false" outlineLevel="0" collapsed="false">
      <c r="A18" s="10" t="str">
        <f aca="false">IF('1 Pieces'!A19="","",'1 Pieces'!A19)</f>
        <v/>
      </c>
      <c r="B18" s="10" t="str">
        <f aca="false">IF(A18="","",IFERROR(INDEX('1 Pieces'!H:H,MATCH(A18,'1 Pieces'!A:A,0)),""))</f>
        <v/>
      </c>
      <c r="C18" s="10" t="str">
        <f aca="false">IF(A18="","",SUMPRODUCT(('2 BOM lines'!$A$5:$A$612=A18)*('2 BOM lines'!$C$5:$C$612&lt;&gt;"MAKING")*IFERROR('2 BOM lines'!$F$5:$F$612,0)*IF('2 BOM lines'!$G$5:$G$612="CT",0.2,IF('2 BOM lines'!$G$5:$G$612="RATTI",0.1215,IF('2 BOM lines'!$G$5:$G$612="GM",1,0)))))</f>
        <v/>
      </c>
      <c r="D18" s="10" t="str">
        <f aca="false">IF(A18="","",ROUND(B18-C18,3))</f>
        <v/>
      </c>
      <c r="E18" s="12" t="str">
        <f aca="false">IF(A18="","",IF(ABS(D18)&lt;=0.05,"OK","CHECK THIS PIECE"))</f>
        <v/>
      </c>
    </row>
    <row r="19" customFormat="false" ht="15" hidden="false" customHeight="false" outlineLevel="0" collapsed="false">
      <c r="A19" s="10" t="str">
        <f aca="false">IF('1 Pieces'!A20="","",'1 Pieces'!A20)</f>
        <v/>
      </c>
      <c r="B19" s="10" t="str">
        <f aca="false">IF(A19="","",IFERROR(INDEX('1 Pieces'!H:H,MATCH(A19,'1 Pieces'!A:A,0)),""))</f>
        <v/>
      </c>
      <c r="C19" s="10" t="str">
        <f aca="false">IF(A19="","",SUMPRODUCT(('2 BOM lines'!$A$5:$A$612=A19)*('2 BOM lines'!$C$5:$C$612&lt;&gt;"MAKING")*IFERROR('2 BOM lines'!$F$5:$F$612,0)*IF('2 BOM lines'!$G$5:$G$612="CT",0.2,IF('2 BOM lines'!$G$5:$G$612="RATTI",0.1215,IF('2 BOM lines'!$G$5:$G$612="GM",1,0)))))</f>
        <v/>
      </c>
      <c r="D19" s="10" t="str">
        <f aca="false">IF(A19="","",ROUND(B19-C19,3))</f>
        <v/>
      </c>
      <c r="E19" s="12" t="str">
        <f aca="false">IF(A19="","",IF(ABS(D19)&lt;=0.05,"OK","CHECK THIS PIECE"))</f>
        <v/>
      </c>
    </row>
    <row r="20" customFormat="false" ht="15" hidden="false" customHeight="false" outlineLevel="0" collapsed="false">
      <c r="A20" s="10" t="str">
        <f aca="false">IF('1 Pieces'!A21="","",'1 Pieces'!A21)</f>
        <v/>
      </c>
      <c r="B20" s="10" t="str">
        <f aca="false">IF(A20="","",IFERROR(INDEX('1 Pieces'!H:H,MATCH(A20,'1 Pieces'!A:A,0)),""))</f>
        <v/>
      </c>
      <c r="C20" s="10" t="str">
        <f aca="false">IF(A20="","",SUMPRODUCT(('2 BOM lines'!$A$5:$A$612=A20)*('2 BOM lines'!$C$5:$C$612&lt;&gt;"MAKING")*IFERROR('2 BOM lines'!$F$5:$F$612,0)*IF('2 BOM lines'!$G$5:$G$612="CT",0.2,IF('2 BOM lines'!$G$5:$G$612="RATTI",0.1215,IF('2 BOM lines'!$G$5:$G$612="GM",1,0)))))</f>
        <v/>
      </c>
      <c r="D20" s="10" t="str">
        <f aca="false">IF(A20="","",ROUND(B20-C20,3))</f>
        <v/>
      </c>
      <c r="E20" s="12" t="str">
        <f aca="false">IF(A20="","",IF(ABS(D20)&lt;=0.05,"OK","CHECK THIS PIECE"))</f>
        <v/>
      </c>
    </row>
    <row r="21" customFormat="false" ht="15" hidden="false" customHeight="false" outlineLevel="0" collapsed="false">
      <c r="A21" s="10" t="str">
        <f aca="false">IF('1 Pieces'!A22="","",'1 Pieces'!A22)</f>
        <v/>
      </c>
      <c r="B21" s="10" t="str">
        <f aca="false">IF(A21="","",IFERROR(INDEX('1 Pieces'!H:H,MATCH(A21,'1 Pieces'!A:A,0)),""))</f>
        <v/>
      </c>
      <c r="C21" s="10" t="str">
        <f aca="false">IF(A21="","",SUMPRODUCT(('2 BOM lines'!$A$5:$A$612=A21)*('2 BOM lines'!$C$5:$C$612&lt;&gt;"MAKING")*IFERROR('2 BOM lines'!$F$5:$F$612,0)*IF('2 BOM lines'!$G$5:$G$612="CT",0.2,IF('2 BOM lines'!$G$5:$G$612="RATTI",0.1215,IF('2 BOM lines'!$G$5:$G$612="GM",1,0)))))</f>
        <v/>
      </c>
      <c r="D21" s="10" t="str">
        <f aca="false">IF(A21="","",ROUND(B21-C21,3))</f>
        <v/>
      </c>
      <c r="E21" s="12" t="str">
        <f aca="false">IF(A21="","",IF(ABS(D21)&lt;=0.05,"OK","CHECK THIS PIECE"))</f>
        <v/>
      </c>
    </row>
    <row r="22" customFormat="false" ht="15" hidden="false" customHeight="false" outlineLevel="0" collapsed="false">
      <c r="A22" s="10" t="str">
        <f aca="false">IF('1 Pieces'!A23="","",'1 Pieces'!A23)</f>
        <v/>
      </c>
      <c r="B22" s="10" t="str">
        <f aca="false">IF(A22="","",IFERROR(INDEX('1 Pieces'!H:H,MATCH(A22,'1 Pieces'!A:A,0)),""))</f>
        <v/>
      </c>
      <c r="C22" s="10" t="str">
        <f aca="false">IF(A22="","",SUMPRODUCT(('2 BOM lines'!$A$5:$A$612=A22)*('2 BOM lines'!$C$5:$C$612&lt;&gt;"MAKING")*IFERROR('2 BOM lines'!$F$5:$F$612,0)*IF('2 BOM lines'!$G$5:$G$612="CT",0.2,IF('2 BOM lines'!$G$5:$G$612="RATTI",0.1215,IF('2 BOM lines'!$G$5:$G$612="GM",1,0)))))</f>
        <v/>
      </c>
      <c r="D22" s="10" t="str">
        <f aca="false">IF(A22="","",ROUND(B22-C22,3))</f>
        <v/>
      </c>
      <c r="E22" s="12" t="str">
        <f aca="false">IF(A22="","",IF(ABS(D22)&lt;=0.05,"OK","CHECK THIS PIECE"))</f>
        <v/>
      </c>
    </row>
    <row r="23" customFormat="false" ht="15" hidden="false" customHeight="false" outlineLevel="0" collapsed="false">
      <c r="A23" s="10" t="str">
        <f aca="false">IF('1 Pieces'!A24="","",'1 Pieces'!A24)</f>
        <v/>
      </c>
      <c r="B23" s="10" t="str">
        <f aca="false">IF(A23="","",IFERROR(INDEX('1 Pieces'!H:H,MATCH(A23,'1 Pieces'!A:A,0)),""))</f>
        <v/>
      </c>
      <c r="C23" s="10" t="str">
        <f aca="false">IF(A23="","",SUMPRODUCT(('2 BOM lines'!$A$5:$A$612=A23)*('2 BOM lines'!$C$5:$C$612&lt;&gt;"MAKING")*IFERROR('2 BOM lines'!$F$5:$F$612,0)*IF('2 BOM lines'!$G$5:$G$612="CT",0.2,IF('2 BOM lines'!$G$5:$G$612="RATTI",0.1215,IF('2 BOM lines'!$G$5:$G$612="GM",1,0)))))</f>
        <v/>
      </c>
      <c r="D23" s="10" t="str">
        <f aca="false">IF(A23="","",ROUND(B23-C23,3))</f>
        <v/>
      </c>
      <c r="E23" s="12" t="str">
        <f aca="false">IF(A23="","",IF(ABS(D23)&lt;=0.05,"OK","CHECK THIS PIECE"))</f>
        <v/>
      </c>
    </row>
    <row r="24" customFormat="false" ht="15" hidden="false" customHeight="false" outlineLevel="0" collapsed="false">
      <c r="A24" s="10" t="str">
        <f aca="false">IF('1 Pieces'!A25="","",'1 Pieces'!A25)</f>
        <v/>
      </c>
      <c r="B24" s="10" t="str">
        <f aca="false">IF(A24="","",IFERROR(INDEX('1 Pieces'!H:H,MATCH(A24,'1 Pieces'!A:A,0)),""))</f>
        <v/>
      </c>
      <c r="C24" s="10" t="str">
        <f aca="false">IF(A24="","",SUMPRODUCT(('2 BOM lines'!$A$5:$A$612=A24)*('2 BOM lines'!$C$5:$C$612&lt;&gt;"MAKING")*IFERROR('2 BOM lines'!$F$5:$F$612,0)*IF('2 BOM lines'!$G$5:$G$612="CT",0.2,IF('2 BOM lines'!$G$5:$G$612="RATTI",0.1215,IF('2 BOM lines'!$G$5:$G$612="GM",1,0)))))</f>
        <v/>
      </c>
      <c r="D24" s="10" t="str">
        <f aca="false">IF(A24="","",ROUND(B24-C24,3))</f>
        <v/>
      </c>
      <c r="E24" s="12" t="str">
        <f aca="false">IF(A24="","",IF(ABS(D24)&lt;=0.05,"OK","CHECK THIS PIECE"))</f>
        <v/>
      </c>
    </row>
    <row r="25" customFormat="false" ht="15" hidden="false" customHeight="false" outlineLevel="0" collapsed="false">
      <c r="A25" s="10" t="str">
        <f aca="false">IF('1 Pieces'!A26="","",'1 Pieces'!A26)</f>
        <v/>
      </c>
      <c r="B25" s="10" t="str">
        <f aca="false">IF(A25="","",IFERROR(INDEX('1 Pieces'!H:H,MATCH(A25,'1 Pieces'!A:A,0)),""))</f>
        <v/>
      </c>
      <c r="C25" s="10" t="str">
        <f aca="false">IF(A25="","",SUMPRODUCT(('2 BOM lines'!$A$5:$A$612=A25)*('2 BOM lines'!$C$5:$C$612&lt;&gt;"MAKING")*IFERROR('2 BOM lines'!$F$5:$F$612,0)*IF('2 BOM lines'!$G$5:$G$612="CT",0.2,IF('2 BOM lines'!$G$5:$G$612="RATTI",0.1215,IF('2 BOM lines'!$G$5:$G$612="GM",1,0)))))</f>
        <v/>
      </c>
      <c r="D25" s="10" t="str">
        <f aca="false">IF(A25="","",ROUND(B25-C25,3))</f>
        <v/>
      </c>
      <c r="E25" s="12" t="str">
        <f aca="false">IF(A25="","",IF(ABS(D25)&lt;=0.05,"OK","CHECK THIS PIECE"))</f>
        <v/>
      </c>
    </row>
    <row r="26" customFormat="false" ht="15" hidden="false" customHeight="false" outlineLevel="0" collapsed="false">
      <c r="A26" s="10" t="str">
        <f aca="false">IF('1 Pieces'!A27="","",'1 Pieces'!A27)</f>
        <v/>
      </c>
      <c r="B26" s="10" t="str">
        <f aca="false">IF(A26="","",IFERROR(INDEX('1 Pieces'!H:H,MATCH(A26,'1 Pieces'!A:A,0)),""))</f>
        <v/>
      </c>
      <c r="C26" s="10" t="str">
        <f aca="false">IF(A26="","",SUMPRODUCT(('2 BOM lines'!$A$5:$A$612=A26)*('2 BOM lines'!$C$5:$C$612&lt;&gt;"MAKING")*IFERROR('2 BOM lines'!$F$5:$F$612,0)*IF('2 BOM lines'!$G$5:$G$612="CT",0.2,IF('2 BOM lines'!$G$5:$G$612="RATTI",0.1215,IF('2 BOM lines'!$G$5:$G$612="GM",1,0)))))</f>
        <v/>
      </c>
      <c r="D26" s="10" t="str">
        <f aca="false">IF(A26="","",ROUND(B26-C26,3))</f>
        <v/>
      </c>
      <c r="E26" s="12" t="str">
        <f aca="false">IF(A26="","",IF(ABS(D26)&lt;=0.05,"OK","CHECK THIS PIECE"))</f>
        <v/>
      </c>
    </row>
    <row r="27" customFormat="false" ht="15" hidden="false" customHeight="false" outlineLevel="0" collapsed="false">
      <c r="A27" s="10" t="str">
        <f aca="false">IF('1 Pieces'!A28="","",'1 Pieces'!A28)</f>
        <v/>
      </c>
      <c r="B27" s="10" t="str">
        <f aca="false">IF(A27="","",IFERROR(INDEX('1 Pieces'!H:H,MATCH(A27,'1 Pieces'!A:A,0)),""))</f>
        <v/>
      </c>
      <c r="C27" s="10" t="str">
        <f aca="false">IF(A27="","",SUMPRODUCT(('2 BOM lines'!$A$5:$A$612=A27)*('2 BOM lines'!$C$5:$C$612&lt;&gt;"MAKING")*IFERROR('2 BOM lines'!$F$5:$F$612,0)*IF('2 BOM lines'!$G$5:$G$612="CT",0.2,IF('2 BOM lines'!$G$5:$G$612="RATTI",0.1215,IF('2 BOM lines'!$G$5:$G$612="GM",1,0)))))</f>
        <v/>
      </c>
      <c r="D27" s="10" t="str">
        <f aca="false">IF(A27="","",ROUND(B27-C27,3))</f>
        <v/>
      </c>
      <c r="E27" s="12" t="str">
        <f aca="false">IF(A27="","",IF(ABS(D27)&lt;=0.05,"OK","CHECK THIS PIECE"))</f>
        <v/>
      </c>
    </row>
    <row r="28" customFormat="false" ht="15" hidden="false" customHeight="false" outlineLevel="0" collapsed="false">
      <c r="A28" s="10" t="str">
        <f aca="false">IF('1 Pieces'!A29="","",'1 Pieces'!A29)</f>
        <v/>
      </c>
      <c r="B28" s="10" t="str">
        <f aca="false">IF(A28="","",IFERROR(INDEX('1 Pieces'!H:H,MATCH(A28,'1 Pieces'!A:A,0)),""))</f>
        <v/>
      </c>
      <c r="C28" s="10" t="str">
        <f aca="false">IF(A28="","",SUMPRODUCT(('2 BOM lines'!$A$5:$A$612=A28)*('2 BOM lines'!$C$5:$C$612&lt;&gt;"MAKING")*IFERROR('2 BOM lines'!$F$5:$F$612,0)*IF('2 BOM lines'!$G$5:$G$612="CT",0.2,IF('2 BOM lines'!$G$5:$G$612="RATTI",0.1215,IF('2 BOM lines'!$G$5:$G$612="GM",1,0)))))</f>
        <v/>
      </c>
      <c r="D28" s="10" t="str">
        <f aca="false">IF(A28="","",ROUND(B28-C28,3))</f>
        <v/>
      </c>
      <c r="E28" s="12" t="str">
        <f aca="false">IF(A28="","",IF(ABS(D28)&lt;=0.05,"OK","CHECK THIS PIECE"))</f>
        <v/>
      </c>
    </row>
    <row r="29" customFormat="false" ht="15" hidden="false" customHeight="false" outlineLevel="0" collapsed="false">
      <c r="A29" s="10" t="str">
        <f aca="false">IF('1 Pieces'!A30="","",'1 Pieces'!A30)</f>
        <v/>
      </c>
      <c r="B29" s="10" t="str">
        <f aca="false">IF(A29="","",IFERROR(INDEX('1 Pieces'!H:H,MATCH(A29,'1 Pieces'!A:A,0)),""))</f>
        <v/>
      </c>
      <c r="C29" s="10" t="str">
        <f aca="false">IF(A29="","",SUMPRODUCT(('2 BOM lines'!$A$5:$A$612=A29)*('2 BOM lines'!$C$5:$C$612&lt;&gt;"MAKING")*IFERROR('2 BOM lines'!$F$5:$F$612,0)*IF('2 BOM lines'!$G$5:$G$612="CT",0.2,IF('2 BOM lines'!$G$5:$G$612="RATTI",0.1215,IF('2 BOM lines'!$G$5:$G$612="GM",1,0)))))</f>
        <v/>
      </c>
      <c r="D29" s="10" t="str">
        <f aca="false">IF(A29="","",ROUND(B29-C29,3))</f>
        <v/>
      </c>
      <c r="E29" s="12" t="str">
        <f aca="false">IF(A29="","",IF(ABS(D29)&lt;=0.05,"OK","CHECK THIS PIECE"))</f>
        <v/>
      </c>
    </row>
    <row r="30" customFormat="false" ht="15" hidden="false" customHeight="false" outlineLevel="0" collapsed="false">
      <c r="A30" s="10" t="str">
        <f aca="false">IF('1 Pieces'!A31="","",'1 Pieces'!A31)</f>
        <v/>
      </c>
      <c r="B30" s="10" t="str">
        <f aca="false">IF(A30="","",IFERROR(INDEX('1 Pieces'!H:H,MATCH(A30,'1 Pieces'!A:A,0)),""))</f>
        <v/>
      </c>
      <c r="C30" s="10" t="str">
        <f aca="false">IF(A30="","",SUMPRODUCT(('2 BOM lines'!$A$5:$A$612=A30)*('2 BOM lines'!$C$5:$C$612&lt;&gt;"MAKING")*IFERROR('2 BOM lines'!$F$5:$F$612,0)*IF('2 BOM lines'!$G$5:$G$612="CT",0.2,IF('2 BOM lines'!$G$5:$G$612="RATTI",0.1215,IF('2 BOM lines'!$G$5:$G$612="GM",1,0)))))</f>
        <v/>
      </c>
      <c r="D30" s="10" t="str">
        <f aca="false">IF(A30="","",ROUND(B30-C30,3))</f>
        <v/>
      </c>
      <c r="E30" s="12" t="str">
        <f aca="false">IF(A30="","",IF(ABS(D30)&lt;=0.05,"OK","CHECK THIS PIECE"))</f>
        <v/>
      </c>
    </row>
    <row r="31" customFormat="false" ht="15" hidden="false" customHeight="false" outlineLevel="0" collapsed="false">
      <c r="A31" s="10" t="str">
        <f aca="false">IF('1 Pieces'!A32="","",'1 Pieces'!A32)</f>
        <v/>
      </c>
      <c r="B31" s="10" t="str">
        <f aca="false">IF(A31="","",IFERROR(INDEX('1 Pieces'!H:H,MATCH(A31,'1 Pieces'!A:A,0)),""))</f>
        <v/>
      </c>
      <c r="C31" s="10" t="str">
        <f aca="false">IF(A31="","",SUMPRODUCT(('2 BOM lines'!$A$5:$A$612=A31)*('2 BOM lines'!$C$5:$C$612&lt;&gt;"MAKING")*IFERROR('2 BOM lines'!$F$5:$F$612,0)*IF('2 BOM lines'!$G$5:$G$612="CT",0.2,IF('2 BOM lines'!$G$5:$G$612="RATTI",0.1215,IF('2 BOM lines'!$G$5:$G$612="GM",1,0)))))</f>
        <v/>
      </c>
      <c r="D31" s="10" t="str">
        <f aca="false">IF(A31="","",ROUND(B31-C31,3))</f>
        <v/>
      </c>
      <c r="E31" s="12" t="str">
        <f aca="false">IF(A31="","",IF(ABS(D31)&lt;=0.05,"OK","CHECK THIS PIECE"))</f>
        <v/>
      </c>
    </row>
    <row r="32" customFormat="false" ht="15" hidden="false" customHeight="false" outlineLevel="0" collapsed="false">
      <c r="A32" s="10" t="str">
        <f aca="false">IF('1 Pieces'!A33="","",'1 Pieces'!A33)</f>
        <v/>
      </c>
      <c r="B32" s="10" t="str">
        <f aca="false">IF(A32="","",IFERROR(INDEX('1 Pieces'!H:H,MATCH(A32,'1 Pieces'!A:A,0)),""))</f>
        <v/>
      </c>
      <c r="C32" s="10" t="str">
        <f aca="false">IF(A32="","",SUMPRODUCT(('2 BOM lines'!$A$5:$A$612=A32)*('2 BOM lines'!$C$5:$C$612&lt;&gt;"MAKING")*IFERROR('2 BOM lines'!$F$5:$F$612,0)*IF('2 BOM lines'!$G$5:$G$612="CT",0.2,IF('2 BOM lines'!$G$5:$G$612="RATTI",0.1215,IF('2 BOM lines'!$G$5:$G$612="GM",1,0)))))</f>
        <v/>
      </c>
      <c r="D32" s="10" t="str">
        <f aca="false">IF(A32="","",ROUND(B32-C32,3))</f>
        <v/>
      </c>
      <c r="E32" s="12" t="str">
        <f aca="false">IF(A32="","",IF(ABS(D32)&lt;=0.05,"OK","CHECK THIS PIECE"))</f>
        <v/>
      </c>
    </row>
    <row r="33" customFormat="false" ht="15" hidden="false" customHeight="false" outlineLevel="0" collapsed="false">
      <c r="A33" s="10" t="str">
        <f aca="false">IF('1 Pieces'!A34="","",'1 Pieces'!A34)</f>
        <v/>
      </c>
      <c r="B33" s="10" t="str">
        <f aca="false">IF(A33="","",IFERROR(INDEX('1 Pieces'!H:H,MATCH(A33,'1 Pieces'!A:A,0)),""))</f>
        <v/>
      </c>
      <c r="C33" s="10" t="str">
        <f aca="false">IF(A33="","",SUMPRODUCT(('2 BOM lines'!$A$5:$A$612=A33)*('2 BOM lines'!$C$5:$C$612&lt;&gt;"MAKING")*IFERROR('2 BOM lines'!$F$5:$F$612,0)*IF('2 BOM lines'!$G$5:$G$612="CT",0.2,IF('2 BOM lines'!$G$5:$G$612="RATTI",0.1215,IF('2 BOM lines'!$G$5:$G$612="GM",1,0)))))</f>
        <v/>
      </c>
      <c r="D33" s="10" t="str">
        <f aca="false">IF(A33="","",ROUND(B33-C33,3))</f>
        <v/>
      </c>
      <c r="E33" s="12" t="str">
        <f aca="false">IF(A33="","",IF(ABS(D33)&lt;=0.05,"OK","CHECK THIS PIECE"))</f>
        <v/>
      </c>
    </row>
    <row r="34" customFormat="false" ht="15" hidden="false" customHeight="false" outlineLevel="0" collapsed="false">
      <c r="A34" s="10" t="str">
        <f aca="false">IF('1 Pieces'!A35="","",'1 Pieces'!A35)</f>
        <v/>
      </c>
      <c r="B34" s="10" t="str">
        <f aca="false">IF(A34="","",IFERROR(INDEX('1 Pieces'!H:H,MATCH(A34,'1 Pieces'!A:A,0)),""))</f>
        <v/>
      </c>
      <c r="C34" s="10" t="str">
        <f aca="false">IF(A34="","",SUMPRODUCT(('2 BOM lines'!$A$5:$A$612=A34)*('2 BOM lines'!$C$5:$C$612&lt;&gt;"MAKING")*IFERROR('2 BOM lines'!$F$5:$F$612,0)*IF('2 BOM lines'!$G$5:$G$612="CT",0.2,IF('2 BOM lines'!$G$5:$G$612="RATTI",0.1215,IF('2 BOM lines'!$G$5:$G$612="GM",1,0)))))</f>
        <v/>
      </c>
      <c r="D34" s="10" t="str">
        <f aca="false">IF(A34="","",ROUND(B34-C34,3))</f>
        <v/>
      </c>
      <c r="E34" s="12" t="str">
        <f aca="false">IF(A34="","",IF(ABS(D34)&lt;=0.05,"OK","CHECK THIS PIECE"))</f>
        <v/>
      </c>
    </row>
    <row r="35" customFormat="false" ht="15" hidden="false" customHeight="false" outlineLevel="0" collapsed="false">
      <c r="A35" s="10" t="str">
        <f aca="false">IF('1 Pieces'!A36="","",'1 Pieces'!A36)</f>
        <v/>
      </c>
      <c r="B35" s="10" t="str">
        <f aca="false">IF(A35="","",IFERROR(INDEX('1 Pieces'!H:H,MATCH(A35,'1 Pieces'!A:A,0)),""))</f>
        <v/>
      </c>
      <c r="C35" s="10" t="str">
        <f aca="false">IF(A35="","",SUMPRODUCT(('2 BOM lines'!$A$5:$A$612=A35)*('2 BOM lines'!$C$5:$C$612&lt;&gt;"MAKING")*IFERROR('2 BOM lines'!$F$5:$F$612,0)*IF('2 BOM lines'!$G$5:$G$612="CT",0.2,IF('2 BOM lines'!$G$5:$G$612="RATTI",0.1215,IF('2 BOM lines'!$G$5:$G$612="GM",1,0)))))</f>
        <v/>
      </c>
      <c r="D35" s="10" t="str">
        <f aca="false">IF(A35="","",ROUND(B35-C35,3))</f>
        <v/>
      </c>
      <c r="E35" s="12" t="str">
        <f aca="false">IF(A35="","",IF(ABS(D35)&lt;=0.05,"OK","CHECK THIS PIECE"))</f>
        <v/>
      </c>
    </row>
    <row r="36" customFormat="false" ht="15" hidden="false" customHeight="false" outlineLevel="0" collapsed="false">
      <c r="A36" s="10" t="str">
        <f aca="false">IF('1 Pieces'!A37="","",'1 Pieces'!A37)</f>
        <v/>
      </c>
      <c r="B36" s="10" t="str">
        <f aca="false">IF(A36="","",IFERROR(INDEX('1 Pieces'!H:H,MATCH(A36,'1 Pieces'!A:A,0)),""))</f>
        <v/>
      </c>
      <c r="C36" s="10" t="str">
        <f aca="false">IF(A36="","",SUMPRODUCT(('2 BOM lines'!$A$5:$A$612=A36)*('2 BOM lines'!$C$5:$C$612&lt;&gt;"MAKING")*IFERROR('2 BOM lines'!$F$5:$F$612,0)*IF('2 BOM lines'!$G$5:$G$612="CT",0.2,IF('2 BOM lines'!$G$5:$G$612="RATTI",0.1215,IF('2 BOM lines'!$G$5:$G$612="GM",1,0)))))</f>
        <v/>
      </c>
      <c r="D36" s="10" t="str">
        <f aca="false">IF(A36="","",ROUND(B36-C36,3))</f>
        <v/>
      </c>
      <c r="E36" s="12" t="str">
        <f aca="false">IF(A36="","",IF(ABS(D36)&lt;=0.05,"OK","CHECK THIS PIECE"))</f>
        <v/>
      </c>
    </row>
    <row r="37" customFormat="false" ht="15" hidden="false" customHeight="false" outlineLevel="0" collapsed="false">
      <c r="A37" s="10" t="str">
        <f aca="false">IF('1 Pieces'!A38="","",'1 Pieces'!A38)</f>
        <v/>
      </c>
      <c r="B37" s="10" t="str">
        <f aca="false">IF(A37="","",IFERROR(INDEX('1 Pieces'!H:H,MATCH(A37,'1 Pieces'!A:A,0)),""))</f>
        <v/>
      </c>
      <c r="C37" s="10" t="str">
        <f aca="false">IF(A37="","",SUMPRODUCT(('2 BOM lines'!$A$5:$A$612=A37)*('2 BOM lines'!$C$5:$C$612&lt;&gt;"MAKING")*IFERROR('2 BOM lines'!$F$5:$F$612,0)*IF('2 BOM lines'!$G$5:$G$612="CT",0.2,IF('2 BOM lines'!$G$5:$G$612="RATTI",0.1215,IF('2 BOM lines'!$G$5:$G$612="GM",1,0)))))</f>
        <v/>
      </c>
      <c r="D37" s="10" t="str">
        <f aca="false">IF(A37="","",ROUND(B37-C37,3))</f>
        <v/>
      </c>
      <c r="E37" s="12" t="str">
        <f aca="false">IF(A37="","",IF(ABS(D37)&lt;=0.05,"OK","CHECK THIS PIECE"))</f>
        <v/>
      </c>
    </row>
    <row r="38" customFormat="false" ht="15" hidden="false" customHeight="false" outlineLevel="0" collapsed="false">
      <c r="A38" s="10" t="str">
        <f aca="false">IF('1 Pieces'!A39="","",'1 Pieces'!A39)</f>
        <v/>
      </c>
      <c r="B38" s="10" t="str">
        <f aca="false">IF(A38="","",IFERROR(INDEX('1 Pieces'!H:H,MATCH(A38,'1 Pieces'!A:A,0)),""))</f>
        <v/>
      </c>
      <c r="C38" s="10" t="str">
        <f aca="false">IF(A38="","",SUMPRODUCT(('2 BOM lines'!$A$5:$A$612=A38)*('2 BOM lines'!$C$5:$C$612&lt;&gt;"MAKING")*IFERROR('2 BOM lines'!$F$5:$F$612,0)*IF('2 BOM lines'!$G$5:$G$612="CT",0.2,IF('2 BOM lines'!$G$5:$G$612="RATTI",0.1215,IF('2 BOM lines'!$G$5:$G$612="GM",1,0)))))</f>
        <v/>
      </c>
      <c r="D38" s="10" t="str">
        <f aca="false">IF(A38="","",ROUND(B38-C38,3))</f>
        <v/>
      </c>
      <c r="E38" s="12" t="str">
        <f aca="false">IF(A38="","",IF(ABS(D38)&lt;=0.05,"OK","CHECK THIS PIECE"))</f>
        <v/>
      </c>
    </row>
    <row r="39" customFormat="false" ht="15" hidden="false" customHeight="false" outlineLevel="0" collapsed="false">
      <c r="A39" s="10" t="str">
        <f aca="false">IF('1 Pieces'!A40="","",'1 Pieces'!A40)</f>
        <v/>
      </c>
      <c r="B39" s="10" t="str">
        <f aca="false">IF(A39="","",IFERROR(INDEX('1 Pieces'!H:H,MATCH(A39,'1 Pieces'!A:A,0)),""))</f>
        <v/>
      </c>
      <c r="C39" s="10" t="str">
        <f aca="false">IF(A39="","",SUMPRODUCT(('2 BOM lines'!$A$5:$A$612=A39)*('2 BOM lines'!$C$5:$C$612&lt;&gt;"MAKING")*IFERROR('2 BOM lines'!$F$5:$F$612,0)*IF('2 BOM lines'!$G$5:$G$612="CT",0.2,IF('2 BOM lines'!$G$5:$G$612="RATTI",0.1215,IF('2 BOM lines'!$G$5:$G$612="GM",1,0)))))</f>
        <v/>
      </c>
      <c r="D39" s="10" t="str">
        <f aca="false">IF(A39="","",ROUND(B39-C39,3))</f>
        <v/>
      </c>
      <c r="E39" s="12" t="str">
        <f aca="false">IF(A39="","",IF(ABS(D39)&lt;=0.05,"OK","CHECK THIS PIECE"))</f>
        <v/>
      </c>
    </row>
    <row r="40" customFormat="false" ht="15" hidden="false" customHeight="false" outlineLevel="0" collapsed="false">
      <c r="A40" s="10" t="str">
        <f aca="false">IF('1 Pieces'!A41="","",'1 Pieces'!A41)</f>
        <v/>
      </c>
      <c r="B40" s="10" t="str">
        <f aca="false">IF(A40="","",IFERROR(INDEX('1 Pieces'!H:H,MATCH(A40,'1 Pieces'!A:A,0)),""))</f>
        <v/>
      </c>
      <c r="C40" s="10" t="str">
        <f aca="false">IF(A40="","",SUMPRODUCT(('2 BOM lines'!$A$5:$A$612=A40)*('2 BOM lines'!$C$5:$C$612&lt;&gt;"MAKING")*IFERROR('2 BOM lines'!$F$5:$F$612,0)*IF('2 BOM lines'!$G$5:$G$612="CT",0.2,IF('2 BOM lines'!$G$5:$G$612="RATTI",0.1215,IF('2 BOM lines'!$G$5:$G$612="GM",1,0)))))</f>
        <v/>
      </c>
      <c r="D40" s="10" t="str">
        <f aca="false">IF(A40="","",ROUND(B40-C40,3))</f>
        <v/>
      </c>
      <c r="E40" s="12" t="str">
        <f aca="false">IF(A40="","",IF(ABS(D40)&lt;=0.05,"OK","CHECK THIS PIECE"))</f>
        <v/>
      </c>
    </row>
    <row r="41" customFormat="false" ht="15" hidden="false" customHeight="false" outlineLevel="0" collapsed="false">
      <c r="A41" s="10" t="str">
        <f aca="false">IF('1 Pieces'!A42="","",'1 Pieces'!A42)</f>
        <v/>
      </c>
      <c r="B41" s="10" t="str">
        <f aca="false">IF(A41="","",IFERROR(INDEX('1 Pieces'!H:H,MATCH(A41,'1 Pieces'!A:A,0)),""))</f>
        <v/>
      </c>
      <c r="C41" s="10" t="str">
        <f aca="false">IF(A41="","",SUMPRODUCT(('2 BOM lines'!$A$5:$A$612=A41)*('2 BOM lines'!$C$5:$C$612&lt;&gt;"MAKING")*IFERROR('2 BOM lines'!$F$5:$F$612,0)*IF('2 BOM lines'!$G$5:$G$612="CT",0.2,IF('2 BOM lines'!$G$5:$G$612="RATTI",0.1215,IF('2 BOM lines'!$G$5:$G$612="GM",1,0)))))</f>
        <v/>
      </c>
      <c r="D41" s="10" t="str">
        <f aca="false">IF(A41="","",ROUND(B41-C41,3))</f>
        <v/>
      </c>
      <c r="E41" s="12" t="str">
        <f aca="false">IF(A41="","",IF(ABS(D41)&lt;=0.05,"OK","CHECK THIS PIECE"))</f>
        <v/>
      </c>
    </row>
    <row r="42" customFormat="false" ht="15" hidden="false" customHeight="false" outlineLevel="0" collapsed="false">
      <c r="A42" s="10" t="str">
        <f aca="false">IF('1 Pieces'!A43="","",'1 Pieces'!A43)</f>
        <v/>
      </c>
      <c r="B42" s="10" t="str">
        <f aca="false">IF(A42="","",IFERROR(INDEX('1 Pieces'!H:H,MATCH(A42,'1 Pieces'!A:A,0)),""))</f>
        <v/>
      </c>
      <c r="C42" s="10" t="str">
        <f aca="false">IF(A42="","",SUMPRODUCT(('2 BOM lines'!$A$5:$A$612=A42)*('2 BOM lines'!$C$5:$C$612&lt;&gt;"MAKING")*IFERROR('2 BOM lines'!$F$5:$F$612,0)*IF('2 BOM lines'!$G$5:$G$612="CT",0.2,IF('2 BOM lines'!$G$5:$G$612="RATTI",0.1215,IF('2 BOM lines'!$G$5:$G$612="GM",1,0)))))</f>
        <v/>
      </c>
      <c r="D42" s="10" t="str">
        <f aca="false">IF(A42="","",ROUND(B42-C42,3))</f>
        <v/>
      </c>
      <c r="E42" s="12" t="str">
        <f aca="false">IF(A42="","",IF(ABS(D42)&lt;=0.05,"OK","CHECK THIS PIECE"))</f>
        <v/>
      </c>
    </row>
    <row r="43" customFormat="false" ht="15" hidden="false" customHeight="false" outlineLevel="0" collapsed="false">
      <c r="A43" s="10" t="str">
        <f aca="false">IF('1 Pieces'!A44="","",'1 Pieces'!A44)</f>
        <v/>
      </c>
      <c r="B43" s="10" t="str">
        <f aca="false">IF(A43="","",IFERROR(INDEX('1 Pieces'!H:H,MATCH(A43,'1 Pieces'!A:A,0)),""))</f>
        <v/>
      </c>
      <c r="C43" s="10" t="str">
        <f aca="false">IF(A43="","",SUMPRODUCT(('2 BOM lines'!$A$5:$A$612=A43)*('2 BOM lines'!$C$5:$C$612&lt;&gt;"MAKING")*IFERROR('2 BOM lines'!$F$5:$F$612,0)*IF('2 BOM lines'!$G$5:$G$612="CT",0.2,IF('2 BOM lines'!$G$5:$G$612="RATTI",0.1215,IF('2 BOM lines'!$G$5:$G$612="GM",1,0)))))</f>
        <v/>
      </c>
      <c r="D43" s="10" t="str">
        <f aca="false">IF(A43="","",ROUND(B43-C43,3))</f>
        <v/>
      </c>
      <c r="E43" s="12" t="str">
        <f aca="false">IF(A43="","",IF(ABS(D43)&lt;=0.05,"OK","CHECK THIS PIECE"))</f>
        <v/>
      </c>
    </row>
    <row r="44" customFormat="false" ht="15" hidden="false" customHeight="false" outlineLevel="0" collapsed="false">
      <c r="A44" s="10" t="str">
        <f aca="false">IF('1 Pieces'!A45="","",'1 Pieces'!A45)</f>
        <v/>
      </c>
      <c r="B44" s="10" t="str">
        <f aca="false">IF(A44="","",IFERROR(INDEX('1 Pieces'!H:H,MATCH(A44,'1 Pieces'!A:A,0)),""))</f>
        <v/>
      </c>
      <c r="C44" s="10" t="str">
        <f aca="false">IF(A44="","",SUMPRODUCT(('2 BOM lines'!$A$5:$A$612=A44)*('2 BOM lines'!$C$5:$C$612&lt;&gt;"MAKING")*IFERROR('2 BOM lines'!$F$5:$F$612,0)*IF('2 BOM lines'!$G$5:$G$612="CT",0.2,IF('2 BOM lines'!$G$5:$G$612="RATTI",0.1215,IF('2 BOM lines'!$G$5:$G$612="GM",1,0)))))</f>
        <v/>
      </c>
      <c r="D44" s="10" t="str">
        <f aca="false">IF(A44="","",ROUND(B44-C44,3))</f>
        <v/>
      </c>
      <c r="E44" s="12" t="str">
        <f aca="false">IF(A44="","",IF(ABS(D44)&lt;=0.05,"OK","CHECK THIS PIECE"))</f>
        <v/>
      </c>
    </row>
    <row r="45" customFormat="false" ht="15" hidden="false" customHeight="false" outlineLevel="0" collapsed="false">
      <c r="A45" s="10" t="str">
        <f aca="false">IF('1 Pieces'!A46="","",'1 Pieces'!A46)</f>
        <v/>
      </c>
      <c r="B45" s="10" t="str">
        <f aca="false">IF(A45="","",IFERROR(INDEX('1 Pieces'!H:H,MATCH(A45,'1 Pieces'!A:A,0)),""))</f>
        <v/>
      </c>
      <c r="C45" s="10" t="str">
        <f aca="false">IF(A45="","",SUMPRODUCT(('2 BOM lines'!$A$5:$A$612=A45)*('2 BOM lines'!$C$5:$C$612&lt;&gt;"MAKING")*IFERROR('2 BOM lines'!$F$5:$F$612,0)*IF('2 BOM lines'!$G$5:$G$612="CT",0.2,IF('2 BOM lines'!$G$5:$G$612="RATTI",0.1215,IF('2 BOM lines'!$G$5:$G$612="GM",1,0)))))</f>
        <v/>
      </c>
      <c r="D45" s="10" t="str">
        <f aca="false">IF(A45="","",ROUND(B45-C45,3))</f>
        <v/>
      </c>
      <c r="E45" s="12" t="str">
        <f aca="false">IF(A45="","",IF(ABS(D45)&lt;=0.05,"OK","CHECK THIS PIECE"))</f>
        <v/>
      </c>
    </row>
    <row r="46" customFormat="false" ht="15" hidden="false" customHeight="false" outlineLevel="0" collapsed="false">
      <c r="A46" s="10" t="str">
        <f aca="false">IF('1 Pieces'!A47="","",'1 Pieces'!A47)</f>
        <v/>
      </c>
      <c r="B46" s="10" t="str">
        <f aca="false">IF(A46="","",IFERROR(INDEX('1 Pieces'!H:H,MATCH(A46,'1 Pieces'!A:A,0)),""))</f>
        <v/>
      </c>
      <c r="C46" s="10" t="str">
        <f aca="false">IF(A46="","",SUMPRODUCT(('2 BOM lines'!$A$5:$A$612=A46)*('2 BOM lines'!$C$5:$C$612&lt;&gt;"MAKING")*IFERROR('2 BOM lines'!$F$5:$F$612,0)*IF('2 BOM lines'!$G$5:$G$612="CT",0.2,IF('2 BOM lines'!$G$5:$G$612="RATTI",0.1215,IF('2 BOM lines'!$G$5:$G$612="GM",1,0)))))</f>
        <v/>
      </c>
      <c r="D46" s="10" t="str">
        <f aca="false">IF(A46="","",ROUND(B46-C46,3))</f>
        <v/>
      </c>
      <c r="E46" s="12" t="str">
        <f aca="false">IF(A46="","",IF(ABS(D46)&lt;=0.05,"OK","CHECK THIS PIECE"))</f>
        <v/>
      </c>
    </row>
    <row r="47" customFormat="false" ht="15" hidden="false" customHeight="false" outlineLevel="0" collapsed="false">
      <c r="A47" s="10" t="str">
        <f aca="false">IF('1 Pieces'!A48="","",'1 Pieces'!A48)</f>
        <v/>
      </c>
      <c r="B47" s="10" t="str">
        <f aca="false">IF(A47="","",IFERROR(INDEX('1 Pieces'!H:H,MATCH(A47,'1 Pieces'!A:A,0)),""))</f>
        <v/>
      </c>
      <c r="C47" s="10" t="str">
        <f aca="false">IF(A47="","",SUMPRODUCT(('2 BOM lines'!$A$5:$A$612=A47)*('2 BOM lines'!$C$5:$C$612&lt;&gt;"MAKING")*IFERROR('2 BOM lines'!$F$5:$F$612,0)*IF('2 BOM lines'!$G$5:$G$612="CT",0.2,IF('2 BOM lines'!$G$5:$G$612="RATTI",0.1215,IF('2 BOM lines'!$G$5:$G$612="GM",1,0)))))</f>
        <v/>
      </c>
      <c r="D47" s="10" t="str">
        <f aca="false">IF(A47="","",ROUND(B47-C47,3))</f>
        <v/>
      </c>
      <c r="E47" s="12" t="str">
        <f aca="false">IF(A47="","",IF(ABS(D47)&lt;=0.05,"OK","CHECK THIS PIECE"))</f>
        <v/>
      </c>
    </row>
    <row r="48" customFormat="false" ht="15" hidden="false" customHeight="false" outlineLevel="0" collapsed="false">
      <c r="A48" s="10" t="str">
        <f aca="false">IF('1 Pieces'!A49="","",'1 Pieces'!A49)</f>
        <v/>
      </c>
      <c r="B48" s="10" t="str">
        <f aca="false">IF(A48="","",IFERROR(INDEX('1 Pieces'!H:H,MATCH(A48,'1 Pieces'!A:A,0)),""))</f>
        <v/>
      </c>
      <c r="C48" s="10" t="str">
        <f aca="false">IF(A48="","",SUMPRODUCT(('2 BOM lines'!$A$5:$A$612=A48)*('2 BOM lines'!$C$5:$C$612&lt;&gt;"MAKING")*IFERROR('2 BOM lines'!$F$5:$F$612,0)*IF('2 BOM lines'!$G$5:$G$612="CT",0.2,IF('2 BOM lines'!$G$5:$G$612="RATTI",0.1215,IF('2 BOM lines'!$G$5:$G$612="GM",1,0)))))</f>
        <v/>
      </c>
      <c r="D48" s="10" t="str">
        <f aca="false">IF(A48="","",ROUND(B48-C48,3))</f>
        <v/>
      </c>
      <c r="E48" s="12" t="str">
        <f aca="false">IF(A48="","",IF(ABS(D48)&lt;=0.05,"OK","CHECK THIS PIECE"))</f>
        <v/>
      </c>
    </row>
    <row r="49" customFormat="false" ht="15" hidden="false" customHeight="false" outlineLevel="0" collapsed="false">
      <c r="A49" s="10" t="str">
        <f aca="false">IF('1 Pieces'!A50="","",'1 Pieces'!A50)</f>
        <v/>
      </c>
      <c r="B49" s="10" t="str">
        <f aca="false">IF(A49="","",IFERROR(INDEX('1 Pieces'!H:H,MATCH(A49,'1 Pieces'!A:A,0)),""))</f>
        <v/>
      </c>
      <c r="C49" s="10" t="str">
        <f aca="false">IF(A49="","",SUMPRODUCT(('2 BOM lines'!$A$5:$A$612=A49)*('2 BOM lines'!$C$5:$C$612&lt;&gt;"MAKING")*IFERROR('2 BOM lines'!$F$5:$F$612,0)*IF('2 BOM lines'!$G$5:$G$612="CT",0.2,IF('2 BOM lines'!$G$5:$G$612="RATTI",0.1215,IF('2 BOM lines'!$G$5:$G$612="GM",1,0)))))</f>
        <v/>
      </c>
      <c r="D49" s="10" t="str">
        <f aca="false">IF(A49="","",ROUND(B49-C49,3))</f>
        <v/>
      </c>
      <c r="E49" s="12" t="str">
        <f aca="false">IF(A49="","",IF(ABS(D49)&lt;=0.05,"OK","CHECK THIS PIECE"))</f>
        <v/>
      </c>
    </row>
    <row r="50" customFormat="false" ht="15" hidden="false" customHeight="false" outlineLevel="0" collapsed="false">
      <c r="A50" s="10" t="str">
        <f aca="false">IF('1 Pieces'!A51="","",'1 Pieces'!A51)</f>
        <v/>
      </c>
      <c r="B50" s="10" t="str">
        <f aca="false">IF(A50="","",IFERROR(INDEX('1 Pieces'!H:H,MATCH(A50,'1 Pieces'!A:A,0)),""))</f>
        <v/>
      </c>
      <c r="C50" s="10" t="str">
        <f aca="false">IF(A50="","",SUMPRODUCT(('2 BOM lines'!$A$5:$A$612=A50)*('2 BOM lines'!$C$5:$C$612&lt;&gt;"MAKING")*IFERROR('2 BOM lines'!$F$5:$F$612,0)*IF('2 BOM lines'!$G$5:$G$612="CT",0.2,IF('2 BOM lines'!$G$5:$G$612="RATTI",0.1215,IF('2 BOM lines'!$G$5:$G$612="GM",1,0)))))</f>
        <v/>
      </c>
      <c r="D50" s="10" t="str">
        <f aca="false">IF(A50="","",ROUND(B50-C50,3))</f>
        <v/>
      </c>
      <c r="E50" s="12" t="str">
        <f aca="false">IF(A50="","",IF(ABS(D50)&lt;=0.05,"OK","CHECK THIS PIECE"))</f>
        <v/>
      </c>
    </row>
    <row r="51" customFormat="false" ht="15" hidden="false" customHeight="false" outlineLevel="0" collapsed="false">
      <c r="A51" s="10" t="str">
        <f aca="false">IF('1 Pieces'!A52="","",'1 Pieces'!A52)</f>
        <v/>
      </c>
      <c r="B51" s="10" t="str">
        <f aca="false">IF(A51="","",IFERROR(INDEX('1 Pieces'!H:H,MATCH(A51,'1 Pieces'!A:A,0)),""))</f>
        <v/>
      </c>
      <c r="C51" s="10" t="str">
        <f aca="false">IF(A51="","",SUMPRODUCT(('2 BOM lines'!$A$5:$A$612=A51)*('2 BOM lines'!$C$5:$C$612&lt;&gt;"MAKING")*IFERROR('2 BOM lines'!$F$5:$F$612,0)*IF('2 BOM lines'!$G$5:$G$612="CT",0.2,IF('2 BOM lines'!$G$5:$G$612="RATTI",0.1215,IF('2 BOM lines'!$G$5:$G$612="GM",1,0)))))</f>
        <v/>
      </c>
      <c r="D51" s="10" t="str">
        <f aca="false">IF(A51="","",ROUND(B51-C51,3))</f>
        <v/>
      </c>
      <c r="E51" s="12" t="str">
        <f aca="false">IF(A51="","",IF(ABS(D51)&lt;=0.05,"OK","CHECK THIS PIECE"))</f>
        <v/>
      </c>
    </row>
    <row r="52" customFormat="false" ht="15" hidden="false" customHeight="false" outlineLevel="0" collapsed="false">
      <c r="A52" s="10" t="str">
        <f aca="false">IF('1 Pieces'!A53="","",'1 Pieces'!A53)</f>
        <v/>
      </c>
      <c r="B52" s="10" t="str">
        <f aca="false">IF(A52="","",IFERROR(INDEX('1 Pieces'!H:H,MATCH(A52,'1 Pieces'!A:A,0)),""))</f>
        <v/>
      </c>
      <c r="C52" s="10" t="str">
        <f aca="false">IF(A52="","",SUMPRODUCT(('2 BOM lines'!$A$5:$A$612=A52)*('2 BOM lines'!$C$5:$C$612&lt;&gt;"MAKING")*IFERROR('2 BOM lines'!$F$5:$F$612,0)*IF('2 BOM lines'!$G$5:$G$612="CT",0.2,IF('2 BOM lines'!$G$5:$G$612="RATTI",0.1215,IF('2 BOM lines'!$G$5:$G$612="GM",1,0)))))</f>
        <v/>
      </c>
      <c r="D52" s="10" t="str">
        <f aca="false">IF(A52="","",ROUND(B52-C52,3))</f>
        <v/>
      </c>
      <c r="E52" s="12" t="str">
        <f aca="false">IF(A52="","",IF(ABS(D52)&lt;=0.05,"OK","CHECK THIS PIECE"))</f>
        <v/>
      </c>
    </row>
    <row r="53" customFormat="false" ht="15" hidden="false" customHeight="false" outlineLevel="0" collapsed="false">
      <c r="A53" s="10" t="str">
        <f aca="false">IF('1 Pieces'!A54="","",'1 Pieces'!A54)</f>
        <v/>
      </c>
      <c r="B53" s="10" t="str">
        <f aca="false">IF(A53="","",IFERROR(INDEX('1 Pieces'!H:H,MATCH(A53,'1 Pieces'!A:A,0)),""))</f>
        <v/>
      </c>
      <c r="C53" s="10" t="str">
        <f aca="false">IF(A53="","",SUMPRODUCT(('2 BOM lines'!$A$5:$A$612=A53)*('2 BOM lines'!$C$5:$C$612&lt;&gt;"MAKING")*IFERROR('2 BOM lines'!$F$5:$F$612,0)*IF('2 BOM lines'!$G$5:$G$612="CT",0.2,IF('2 BOM lines'!$G$5:$G$612="RATTI",0.1215,IF('2 BOM lines'!$G$5:$G$612="GM",1,0)))))</f>
        <v/>
      </c>
      <c r="D53" s="10" t="str">
        <f aca="false">IF(A53="","",ROUND(B53-C53,3))</f>
        <v/>
      </c>
      <c r="E53" s="12" t="str">
        <f aca="false">IF(A53="","",IF(ABS(D53)&lt;=0.05,"OK","CHECK THIS PIECE"))</f>
        <v/>
      </c>
    </row>
    <row r="54" customFormat="false" ht="15" hidden="false" customHeight="false" outlineLevel="0" collapsed="false">
      <c r="A54" s="10" t="str">
        <f aca="false">IF('1 Pieces'!A55="","",'1 Pieces'!A55)</f>
        <v/>
      </c>
      <c r="B54" s="10" t="str">
        <f aca="false">IF(A54="","",IFERROR(INDEX('1 Pieces'!H:H,MATCH(A54,'1 Pieces'!A:A,0)),""))</f>
        <v/>
      </c>
      <c r="C54" s="10" t="str">
        <f aca="false">IF(A54="","",SUMPRODUCT(('2 BOM lines'!$A$5:$A$612=A54)*('2 BOM lines'!$C$5:$C$612&lt;&gt;"MAKING")*IFERROR('2 BOM lines'!$F$5:$F$612,0)*IF('2 BOM lines'!$G$5:$G$612="CT",0.2,IF('2 BOM lines'!$G$5:$G$612="RATTI",0.1215,IF('2 BOM lines'!$G$5:$G$612="GM",1,0)))))</f>
        <v/>
      </c>
      <c r="D54" s="10" t="str">
        <f aca="false">IF(A54="","",ROUND(B54-C54,3))</f>
        <v/>
      </c>
      <c r="E54" s="12" t="str">
        <f aca="false">IF(A54="","",IF(ABS(D54)&lt;=0.05,"OK","CHECK THIS PIECE"))</f>
        <v/>
      </c>
    </row>
    <row r="55" customFormat="false" ht="15" hidden="false" customHeight="false" outlineLevel="0" collapsed="false">
      <c r="A55" s="10" t="str">
        <f aca="false">IF('1 Pieces'!A56="","",'1 Pieces'!A56)</f>
        <v/>
      </c>
      <c r="B55" s="10" t="str">
        <f aca="false">IF(A55="","",IFERROR(INDEX('1 Pieces'!H:H,MATCH(A55,'1 Pieces'!A:A,0)),""))</f>
        <v/>
      </c>
      <c r="C55" s="10" t="str">
        <f aca="false">IF(A55="","",SUMPRODUCT(('2 BOM lines'!$A$5:$A$612=A55)*('2 BOM lines'!$C$5:$C$612&lt;&gt;"MAKING")*IFERROR('2 BOM lines'!$F$5:$F$612,0)*IF('2 BOM lines'!$G$5:$G$612="CT",0.2,IF('2 BOM lines'!$G$5:$G$612="RATTI",0.1215,IF('2 BOM lines'!$G$5:$G$612="GM",1,0)))))</f>
        <v/>
      </c>
      <c r="D55" s="10" t="str">
        <f aca="false">IF(A55="","",ROUND(B55-C55,3))</f>
        <v/>
      </c>
      <c r="E55" s="12" t="str">
        <f aca="false">IF(A55="","",IF(ABS(D55)&lt;=0.05,"OK","CHECK THIS PIECE"))</f>
        <v/>
      </c>
    </row>
    <row r="56" customFormat="false" ht="15" hidden="false" customHeight="false" outlineLevel="0" collapsed="false">
      <c r="A56" s="10" t="str">
        <f aca="false">IF('1 Pieces'!A57="","",'1 Pieces'!A57)</f>
        <v/>
      </c>
      <c r="B56" s="10" t="str">
        <f aca="false">IF(A56="","",IFERROR(INDEX('1 Pieces'!H:H,MATCH(A56,'1 Pieces'!A:A,0)),""))</f>
        <v/>
      </c>
      <c r="C56" s="10" t="str">
        <f aca="false">IF(A56="","",SUMPRODUCT(('2 BOM lines'!$A$5:$A$612=A56)*('2 BOM lines'!$C$5:$C$612&lt;&gt;"MAKING")*IFERROR('2 BOM lines'!$F$5:$F$612,0)*IF('2 BOM lines'!$G$5:$G$612="CT",0.2,IF('2 BOM lines'!$G$5:$G$612="RATTI",0.1215,IF('2 BOM lines'!$G$5:$G$612="GM",1,0)))))</f>
        <v/>
      </c>
      <c r="D56" s="10" t="str">
        <f aca="false">IF(A56="","",ROUND(B56-C56,3))</f>
        <v/>
      </c>
      <c r="E56" s="12" t="str">
        <f aca="false">IF(A56="","",IF(ABS(D56)&lt;=0.05,"OK","CHECK THIS PIECE"))</f>
        <v/>
      </c>
    </row>
    <row r="57" customFormat="false" ht="15" hidden="false" customHeight="false" outlineLevel="0" collapsed="false">
      <c r="A57" s="10" t="str">
        <f aca="false">IF('1 Pieces'!A58="","",'1 Pieces'!A58)</f>
        <v/>
      </c>
      <c r="B57" s="10" t="str">
        <f aca="false">IF(A57="","",IFERROR(INDEX('1 Pieces'!H:H,MATCH(A57,'1 Pieces'!A:A,0)),""))</f>
        <v/>
      </c>
      <c r="C57" s="10" t="str">
        <f aca="false">IF(A57="","",SUMPRODUCT(('2 BOM lines'!$A$5:$A$612=A57)*('2 BOM lines'!$C$5:$C$612&lt;&gt;"MAKING")*IFERROR('2 BOM lines'!$F$5:$F$612,0)*IF('2 BOM lines'!$G$5:$G$612="CT",0.2,IF('2 BOM lines'!$G$5:$G$612="RATTI",0.1215,IF('2 BOM lines'!$G$5:$G$612="GM",1,0)))))</f>
        <v/>
      </c>
      <c r="D57" s="10" t="str">
        <f aca="false">IF(A57="","",ROUND(B57-C57,3))</f>
        <v/>
      </c>
      <c r="E57" s="12" t="str">
        <f aca="false">IF(A57="","",IF(ABS(D57)&lt;=0.05,"OK","CHECK THIS PIECE"))</f>
        <v/>
      </c>
    </row>
    <row r="58" customFormat="false" ht="15" hidden="false" customHeight="false" outlineLevel="0" collapsed="false">
      <c r="A58" s="10" t="str">
        <f aca="false">IF('1 Pieces'!A59="","",'1 Pieces'!A59)</f>
        <v/>
      </c>
      <c r="B58" s="10" t="str">
        <f aca="false">IF(A58="","",IFERROR(INDEX('1 Pieces'!H:H,MATCH(A58,'1 Pieces'!A:A,0)),""))</f>
        <v/>
      </c>
      <c r="C58" s="10" t="str">
        <f aca="false">IF(A58="","",SUMPRODUCT(('2 BOM lines'!$A$5:$A$612=A58)*('2 BOM lines'!$C$5:$C$612&lt;&gt;"MAKING")*IFERROR('2 BOM lines'!$F$5:$F$612,0)*IF('2 BOM lines'!$G$5:$G$612="CT",0.2,IF('2 BOM lines'!$G$5:$G$612="RATTI",0.1215,IF('2 BOM lines'!$G$5:$G$612="GM",1,0)))))</f>
        <v/>
      </c>
      <c r="D58" s="10" t="str">
        <f aca="false">IF(A58="","",ROUND(B58-C58,3))</f>
        <v/>
      </c>
      <c r="E58" s="12" t="str">
        <f aca="false">IF(A58="","",IF(ABS(D58)&lt;=0.05,"OK","CHECK THIS PIECE"))</f>
        <v/>
      </c>
    </row>
    <row r="59" customFormat="false" ht="15" hidden="false" customHeight="false" outlineLevel="0" collapsed="false">
      <c r="A59" s="10" t="str">
        <f aca="false">IF('1 Pieces'!A60="","",'1 Pieces'!A60)</f>
        <v/>
      </c>
      <c r="B59" s="10" t="str">
        <f aca="false">IF(A59="","",IFERROR(INDEX('1 Pieces'!H:H,MATCH(A59,'1 Pieces'!A:A,0)),""))</f>
        <v/>
      </c>
      <c r="C59" s="10" t="str">
        <f aca="false">IF(A59="","",SUMPRODUCT(('2 BOM lines'!$A$5:$A$612=A59)*('2 BOM lines'!$C$5:$C$612&lt;&gt;"MAKING")*IFERROR('2 BOM lines'!$F$5:$F$612,0)*IF('2 BOM lines'!$G$5:$G$612="CT",0.2,IF('2 BOM lines'!$G$5:$G$612="RATTI",0.1215,IF('2 BOM lines'!$G$5:$G$612="GM",1,0)))))</f>
        <v/>
      </c>
      <c r="D59" s="10" t="str">
        <f aca="false">IF(A59="","",ROUND(B59-C59,3))</f>
        <v/>
      </c>
      <c r="E59" s="12" t="str">
        <f aca="false">IF(A59="","",IF(ABS(D59)&lt;=0.05,"OK","CHECK THIS PIECE"))</f>
        <v/>
      </c>
    </row>
    <row r="60" customFormat="false" ht="15" hidden="false" customHeight="false" outlineLevel="0" collapsed="false">
      <c r="A60" s="10" t="str">
        <f aca="false">IF('1 Pieces'!A61="","",'1 Pieces'!A61)</f>
        <v/>
      </c>
      <c r="B60" s="10" t="str">
        <f aca="false">IF(A60="","",IFERROR(INDEX('1 Pieces'!H:H,MATCH(A60,'1 Pieces'!A:A,0)),""))</f>
        <v/>
      </c>
      <c r="C60" s="10" t="str">
        <f aca="false">IF(A60="","",SUMPRODUCT(('2 BOM lines'!$A$5:$A$612=A60)*('2 BOM lines'!$C$5:$C$612&lt;&gt;"MAKING")*IFERROR('2 BOM lines'!$F$5:$F$612,0)*IF('2 BOM lines'!$G$5:$G$612="CT",0.2,IF('2 BOM lines'!$G$5:$G$612="RATTI",0.1215,IF('2 BOM lines'!$G$5:$G$612="GM",1,0)))))</f>
        <v/>
      </c>
      <c r="D60" s="10" t="str">
        <f aca="false">IF(A60="","",ROUND(B60-C60,3))</f>
        <v/>
      </c>
      <c r="E60" s="12" t="str">
        <f aca="false">IF(A60="","",IF(ABS(D60)&lt;=0.05,"OK","CHECK THIS PIECE"))</f>
        <v/>
      </c>
    </row>
    <row r="61" customFormat="false" ht="15" hidden="false" customHeight="false" outlineLevel="0" collapsed="false">
      <c r="A61" s="10" t="str">
        <f aca="false">IF('1 Pieces'!A62="","",'1 Pieces'!A62)</f>
        <v/>
      </c>
      <c r="B61" s="10" t="str">
        <f aca="false">IF(A61="","",IFERROR(INDEX('1 Pieces'!H:H,MATCH(A61,'1 Pieces'!A:A,0)),""))</f>
        <v/>
      </c>
      <c r="C61" s="10" t="str">
        <f aca="false">IF(A61="","",SUMPRODUCT(('2 BOM lines'!$A$5:$A$612=A61)*('2 BOM lines'!$C$5:$C$612&lt;&gt;"MAKING")*IFERROR('2 BOM lines'!$F$5:$F$612,0)*IF('2 BOM lines'!$G$5:$G$612="CT",0.2,IF('2 BOM lines'!$G$5:$G$612="RATTI",0.1215,IF('2 BOM lines'!$G$5:$G$612="GM",1,0)))))</f>
        <v/>
      </c>
      <c r="D61" s="10" t="str">
        <f aca="false">IF(A61="","",ROUND(B61-C61,3))</f>
        <v/>
      </c>
      <c r="E61" s="12" t="str">
        <f aca="false">IF(A61="","",IF(ABS(D61)&lt;=0.05,"OK","CHECK THIS PIECE"))</f>
        <v/>
      </c>
    </row>
    <row r="62" customFormat="false" ht="15" hidden="false" customHeight="false" outlineLevel="0" collapsed="false">
      <c r="A62" s="10" t="str">
        <f aca="false">IF('1 Pieces'!A63="","",'1 Pieces'!A63)</f>
        <v/>
      </c>
      <c r="B62" s="10" t="str">
        <f aca="false">IF(A62="","",IFERROR(INDEX('1 Pieces'!H:H,MATCH(A62,'1 Pieces'!A:A,0)),""))</f>
        <v/>
      </c>
      <c r="C62" s="10" t="str">
        <f aca="false">IF(A62="","",SUMPRODUCT(('2 BOM lines'!$A$5:$A$612=A62)*('2 BOM lines'!$C$5:$C$612&lt;&gt;"MAKING")*IFERROR('2 BOM lines'!$F$5:$F$612,0)*IF('2 BOM lines'!$G$5:$G$612="CT",0.2,IF('2 BOM lines'!$G$5:$G$612="RATTI",0.1215,IF('2 BOM lines'!$G$5:$G$612="GM",1,0)))))</f>
        <v/>
      </c>
      <c r="D62" s="10" t="str">
        <f aca="false">IF(A62="","",ROUND(B62-C62,3))</f>
        <v/>
      </c>
      <c r="E62" s="12" t="str">
        <f aca="false">IF(A62="","",IF(ABS(D62)&lt;=0.05,"OK","CHECK THIS PIECE"))</f>
        <v/>
      </c>
    </row>
    <row r="63" customFormat="false" ht="15" hidden="false" customHeight="false" outlineLevel="0" collapsed="false">
      <c r="A63" s="10" t="str">
        <f aca="false">IF('1 Pieces'!A64="","",'1 Pieces'!A64)</f>
        <v/>
      </c>
      <c r="B63" s="10" t="str">
        <f aca="false">IF(A63="","",IFERROR(INDEX('1 Pieces'!H:H,MATCH(A63,'1 Pieces'!A:A,0)),""))</f>
        <v/>
      </c>
      <c r="C63" s="10" t="str">
        <f aca="false">IF(A63="","",SUMPRODUCT(('2 BOM lines'!$A$5:$A$612=A63)*('2 BOM lines'!$C$5:$C$612&lt;&gt;"MAKING")*IFERROR('2 BOM lines'!$F$5:$F$612,0)*IF('2 BOM lines'!$G$5:$G$612="CT",0.2,IF('2 BOM lines'!$G$5:$G$612="RATTI",0.1215,IF('2 BOM lines'!$G$5:$G$612="GM",1,0)))))</f>
        <v/>
      </c>
      <c r="D63" s="10" t="str">
        <f aca="false">IF(A63="","",ROUND(B63-C63,3))</f>
        <v/>
      </c>
      <c r="E63" s="12" t="str">
        <f aca="false">IF(A63="","",IF(ABS(D63)&lt;=0.05,"OK","CHECK THIS PIECE"))</f>
        <v/>
      </c>
    </row>
    <row r="64" customFormat="false" ht="15" hidden="false" customHeight="false" outlineLevel="0" collapsed="false">
      <c r="A64" s="10" t="str">
        <f aca="false">IF('1 Pieces'!A65="","",'1 Pieces'!A65)</f>
        <v/>
      </c>
      <c r="B64" s="10" t="str">
        <f aca="false">IF(A64="","",IFERROR(INDEX('1 Pieces'!H:H,MATCH(A64,'1 Pieces'!A:A,0)),""))</f>
        <v/>
      </c>
      <c r="C64" s="10" t="str">
        <f aca="false">IF(A64="","",SUMPRODUCT(('2 BOM lines'!$A$5:$A$612=A64)*('2 BOM lines'!$C$5:$C$612&lt;&gt;"MAKING")*IFERROR('2 BOM lines'!$F$5:$F$612,0)*IF('2 BOM lines'!$G$5:$G$612="CT",0.2,IF('2 BOM lines'!$G$5:$G$612="RATTI",0.1215,IF('2 BOM lines'!$G$5:$G$612="GM",1,0)))))</f>
        <v/>
      </c>
      <c r="D64" s="10" t="str">
        <f aca="false">IF(A64="","",ROUND(B64-C64,3))</f>
        <v/>
      </c>
      <c r="E64" s="12" t="str">
        <f aca="false">IF(A64="","",IF(ABS(D64)&lt;=0.05,"OK","CHECK THIS PIECE"))</f>
        <v/>
      </c>
    </row>
    <row r="65" customFormat="false" ht="15" hidden="false" customHeight="false" outlineLevel="0" collapsed="false">
      <c r="A65" s="10" t="str">
        <f aca="false">IF('1 Pieces'!A66="","",'1 Pieces'!A66)</f>
        <v/>
      </c>
      <c r="B65" s="10" t="str">
        <f aca="false">IF(A65="","",IFERROR(INDEX('1 Pieces'!H:H,MATCH(A65,'1 Pieces'!A:A,0)),""))</f>
        <v/>
      </c>
      <c r="C65" s="10" t="str">
        <f aca="false">IF(A65="","",SUMPRODUCT(('2 BOM lines'!$A$5:$A$612=A65)*('2 BOM lines'!$C$5:$C$612&lt;&gt;"MAKING")*IFERROR('2 BOM lines'!$F$5:$F$612,0)*IF('2 BOM lines'!$G$5:$G$612="CT",0.2,IF('2 BOM lines'!$G$5:$G$612="RATTI",0.1215,IF('2 BOM lines'!$G$5:$G$612="GM",1,0)))))</f>
        <v/>
      </c>
      <c r="D65" s="10" t="str">
        <f aca="false">IF(A65="","",ROUND(B65-C65,3))</f>
        <v/>
      </c>
      <c r="E65" s="12" t="str">
        <f aca="false">IF(A65="","",IF(ABS(D65)&lt;=0.05,"OK","CHECK THIS PIECE"))</f>
        <v/>
      </c>
    </row>
    <row r="66" customFormat="false" ht="15" hidden="false" customHeight="false" outlineLevel="0" collapsed="false">
      <c r="A66" s="10" t="str">
        <f aca="false">IF('1 Pieces'!A67="","",'1 Pieces'!A67)</f>
        <v/>
      </c>
      <c r="B66" s="10" t="str">
        <f aca="false">IF(A66="","",IFERROR(INDEX('1 Pieces'!H:H,MATCH(A66,'1 Pieces'!A:A,0)),""))</f>
        <v/>
      </c>
      <c r="C66" s="10" t="str">
        <f aca="false">IF(A66="","",SUMPRODUCT(('2 BOM lines'!$A$5:$A$612=A66)*('2 BOM lines'!$C$5:$C$612&lt;&gt;"MAKING")*IFERROR('2 BOM lines'!$F$5:$F$612,0)*IF('2 BOM lines'!$G$5:$G$612="CT",0.2,IF('2 BOM lines'!$G$5:$G$612="RATTI",0.1215,IF('2 BOM lines'!$G$5:$G$612="GM",1,0)))))</f>
        <v/>
      </c>
      <c r="D66" s="10" t="str">
        <f aca="false">IF(A66="","",ROUND(B66-C66,3))</f>
        <v/>
      </c>
      <c r="E66" s="12" t="str">
        <f aca="false">IF(A66="","",IF(ABS(D66)&lt;=0.05,"OK","CHECK THIS PIECE"))</f>
        <v/>
      </c>
    </row>
    <row r="67" customFormat="false" ht="15" hidden="false" customHeight="false" outlineLevel="0" collapsed="false">
      <c r="A67" s="10" t="str">
        <f aca="false">IF('1 Pieces'!A68="","",'1 Pieces'!A68)</f>
        <v/>
      </c>
      <c r="B67" s="10" t="str">
        <f aca="false">IF(A67="","",IFERROR(INDEX('1 Pieces'!H:H,MATCH(A67,'1 Pieces'!A:A,0)),""))</f>
        <v/>
      </c>
      <c r="C67" s="10" t="str">
        <f aca="false">IF(A67="","",SUMPRODUCT(('2 BOM lines'!$A$5:$A$612=A67)*('2 BOM lines'!$C$5:$C$612&lt;&gt;"MAKING")*IFERROR('2 BOM lines'!$F$5:$F$612,0)*IF('2 BOM lines'!$G$5:$G$612="CT",0.2,IF('2 BOM lines'!$G$5:$G$612="RATTI",0.1215,IF('2 BOM lines'!$G$5:$G$612="GM",1,0)))))</f>
        <v/>
      </c>
      <c r="D67" s="10" t="str">
        <f aca="false">IF(A67="","",ROUND(B67-C67,3))</f>
        <v/>
      </c>
      <c r="E67" s="12" t="str">
        <f aca="false">IF(A67="","",IF(ABS(D67)&lt;=0.05,"OK","CHECK THIS PIECE"))</f>
        <v/>
      </c>
    </row>
    <row r="68" customFormat="false" ht="15" hidden="false" customHeight="false" outlineLevel="0" collapsed="false">
      <c r="A68" s="10" t="str">
        <f aca="false">IF('1 Pieces'!A69="","",'1 Pieces'!A69)</f>
        <v/>
      </c>
      <c r="B68" s="10" t="str">
        <f aca="false">IF(A68="","",IFERROR(INDEX('1 Pieces'!H:H,MATCH(A68,'1 Pieces'!A:A,0)),""))</f>
        <v/>
      </c>
      <c r="C68" s="10" t="str">
        <f aca="false">IF(A68="","",SUMPRODUCT(('2 BOM lines'!$A$5:$A$612=A68)*('2 BOM lines'!$C$5:$C$612&lt;&gt;"MAKING")*IFERROR('2 BOM lines'!$F$5:$F$612,0)*IF('2 BOM lines'!$G$5:$G$612="CT",0.2,IF('2 BOM lines'!$G$5:$G$612="RATTI",0.1215,IF('2 BOM lines'!$G$5:$G$612="GM",1,0)))))</f>
        <v/>
      </c>
      <c r="D68" s="10" t="str">
        <f aca="false">IF(A68="","",ROUND(B68-C68,3))</f>
        <v/>
      </c>
      <c r="E68" s="12" t="str">
        <f aca="false">IF(A68="","",IF(ABS(D68)&lt;=0.05,"OK","CHECK THIS PIECE"))</f>
        <v/>
      </c>
    </row>
    <row r="69" customFormat="false" ht="15" hidden="false" customHeight="false" outlineLevel="0" collapsed="false">
      <c r="A69" s="10" t="str">
        <f aca="false">IF('1 Pieces'!A70="","",'1 Pieces'!A70)</f>
        <v/>
      </c>
      <c r="B69" s="10" t="str">
        <f aca="false">IF(A69="","",IFERROR(INDEX('1 Pieces'!H:H,MATCH(A69,'1 Pieces'!A:A,0)),""))</f>
        <v/>
      </c>
      <c r="C69" s="10" t="str">
        <f aca="false">IF(A69="","",SUMPRODUCT(('2 BOM lines'!$A$5:$A$612=A69)*('2 BOM lines'!$C$5:$C$612&lt;&gt;"MAKING")*IFERROR('2 BOM lines'!$F$5:$F$612,0)*IF('2 BOM lines'!$G$5:$G$612="CT",0.2,IF('2 BOM lines'!$G$5:$G$612="RATTI",0.1215,IF('2 BOM lines'!$G$5:$G$612="GM",1,0)))))</f>
        <v/>
      </c>
      <c r="D69" s="10" t="str">
        <f aca="false">IF(A69="","",ROUND(B69-C69,3))</f>
        <v/>
      </c>
      <c r="E69" s="12" t="str">
        <f aca="false">IF(A69="","",IF(ABS(D69)&lt;=0.05,"OK","CHECK THIS PIECE"))</f>
        <v/>
      </c>
    </row>
    <row r="70" customFormat="false" ht="15" hidden="false" customHeight="false" outlineLevel="0" collapsed="false">
      <c r="A70" s="10" t="str">
        <f aca="false">IF('1 Pieces'!A71="","",'1 Pieces'!A71)</f>
        <v/>
      </c>
      <c r="B70" s="10" t="str">
        <f aca="false">IF(A70="","",IFERROR(INDEX('1 Pieces'!H:H,MATCH(A70,'1 Pieces'!A:A,0)),""))</f>
        <v/>
      </c>
      <c r="C70" s="10" t="str">
        <f aca="false">IF(A70="","",SUMPRODUCT(('2 BOM lines'!$A$5:$A$612=A70)*('2 BOM lines'!$C$5:$C$612&lt;&gt;"MAKING")*IFERROR('2 BOM lines'!$F$5:$F$612,0)*IF('2 BOM lines'!$G$5:$G$612="CT",0.2,IF('2 BOM lines'!$G$5:$G$612="RATTI",0.1215,IF('2 BOM lines'!$G$5:$G$612="GM",1,0)))))</f>
        <v/>
      </c>
      <c r="D70" s="10" t="str">
        <f aca="false">IF(A70="","",ROUND(B70-C70,3))</f>
        <v/>
      </c>
      <c r="E70" s="12" t="str">
        <f aca="false">IF(A70="","",IF(ABS(D70)&lt;=0.05,"OK","CHECK THIS PIECE"))</f>
        <v/>
      </c>
    </row>
    <row r="71" customFormat="false" ht="15" hidden="false" customHeight="false" outlineLevel="0" collapsed="false">
      <c r="A71" s="10" t="str">
        <f aca="false">IF('1 Pieces'!A72="","",'1 Pieces'!A72)</f>
        <v/>
      </c>
      <c r="B71" s="10" t="str">
        <f aca="false">IF(A71="","",IFERROR(INDEX('1 Pieces'!H:H,MATCH(A71,'1 Pieces'!A:A,0)),""))</f>
        <v/>
      </c>
      <c r="C71" s="10" t="str">
        <f aca="false">IF(A71="","",SUMPRODUCT(('2 BOM lines'!$A$5:$A$612=A71)*('2 BOM lines'!$C$5:$C$612&lt;&gt;"MAKING")*IFERROR('2 BOM lines'!$F$5:$F$612,0)*IF('2 BOM lines'!$G$5:$G$612="CT",0.2,IF('2 BOM lines'!$G$5:$G$612="RATTI",0.1215,IF('2 BOM lines'!$G$5:$G$612="GM",1,0)))))</f>
        <v/>
      </c>
      <c r="D71" s="10" t="str">
        <f aca="false">IF(A71="","",ROUND(B71-C71,3))</f>
        <v/>
      </c>
      <c r="E71" s="12" t="str">
        <f aca="false">IF(A71="","",IF(ABS(D71)&lt;=0.05,"OK","CHECK THIS PIECE"))</f>
        <v/>
      </c>
    </row>
    <row r="72" customFormat="false" ht="15" hidden="false" customHeight="false" outlineLevel="0" collapsed="false">
      <c r="A72" s="10" t="str">
        <f aca="false">IF('1 Pieces'!A73="","",'1 Pieces'!A73)</f>
        <v/>
      </c>
      <c r="B72" s="10" t="str">
        <f aca="false">IF(A72="","",IFERROR(INDEX('1 Pieces'!H:H,MATCH(A72,'1 Pieces'!A:A,0)),""))</f>
        <v/>
      </c>
      <c r="C72" s="10" t="str">
        <f aca="false">IF(A72="","",SUMPRODUCT(('2 BOM lines'!$A$5:$A$612=A72)*('2 BOM lines'!$C$5:$C$612&lt;&gt;"MAKING")*IFERROR('2 BOM lines'!$F$5:$F$612,0)*IF('2 BOM lines'!$G$5:$G$612="CT",0.2,IF('2 BOM lines'!$G$5:$G$612="RATTI",0.1215,IF('2 BOM lines'!$G$5:$G$612="GM",1,0)))))</f>
        <v/>
      </c>
      <c r="D72" s="10" t="str">
        <f aca="false">IF(A72="","",ROUND(B72-C72,3))</f>
        <v/>
      </c>
      <c r="E72" s="12" t="str">
        <f aca="false">IF(A72="","",IF(ABS(D72)&lt;=0.05,"OK","CHECK THIS PIECE"))</f>
        <v/>
      </c>
    </row>
    <row r="73" customFormat="false" ht="15" hidden="false" customHeight="false" outlineLevel="0" collapsed="false">
      <c r="A73" s="10" t="str">
        <f aca="false">IF('1 Pieces'!A74="","",'1 Pieces'!A74)</f>
        <v/>
      </c>
      <c r="B73" s="10" t="str">
        <f aca="false">IF(A73="","",IFERROR(INDEX('1 Pieces'!H:H,MATCH(A73,'1 Pieces'!A:A,0)),""))</f>
        <v/>
      </c>
      <c r="C73" s="10" t="str">
        <f aca="false">IF(A73="","",SUMPRODUCT(('2 BOM lines'!$A$5:$A$612=A73)*('2 BOM lines'!$C$5:$C$612&lt;&gt;"MAKING")*IFERROR('2 BOM lines'!$F$5:$F$612,0)*IF('2 BOM lines'!$G$5:$G$612="CT",0.2,IF('2 BOM lines'!$G$5:$G$612="RATTI",0.1215,IF('2 BOM lines'!$G$5:$G$612="GM",1,0)))))</f>
        <v/>
      </c>
      <c r="D73" s="10" t="str">
        <f aca="false">IF(A73="","",ROUND(B73-C73,3))</f>
        <v/>
      </c>
      <c r="E73" s="12" t="str">
        <f aca="false">IF(A73="","",IF(ABS(D73)&lt;=0.05,"OK","CHECK THIS PIECE"))</f>
        <v/>
      </c>
    </row>
    <row r="74" customFormat="false" ht="15" hidden="false" customHeight="false" outlineLevel="0" collapsed="false">
      <c r="A74" s="10" t="str">
        <f aca="false">IF('1 Pieces'!A75="","",'1 Pieces'!A75)</f>
        <v/>
      </c>
      <c r="B74" s="10" t="str">
        <f aca="false">IF(A74="","",IFERROR(INDEX('1 Pieces'!H:H,MATCH(A74,'1 Pieces'!A:A,0)),""))</f>
        <v/>
      </c>
      <c r="C74" s="10" t="str">
        <f aca="false">IF(A74="","",SUMPRODUCT(('2 BOM lines'!$A$5:$A$612=A74)*('2 BOM lines'!$C$5:$C$612&lt;&gt;"MAKING")*IFERROR('2 BOM lines'!$F$5:$F$612,0)*IF('2 BOM lines'!$G$5:$G$612="CT",0.2,IF('2 BOM lines'!$G$5:$G$612="RATTI",0.1215,IF('2 BOM lines'!$G$5:$G$612="GM",1,0)))))</f>
        <v/>
      </c>
      <c r="D74" s="10" t="str">
        <f aca="false">IF(A74="","",ROUND(B74-C74,3))</f>
        <v/>
      </c>
      <c r="E74" s="12" t="str">
        <f aca="false">IF(A74="","",IF(ABS(D74)&lt;=0.05,"OK","CHECK THIS PIECE"))</f>
        <v/>
      </c>
    </row>
    <row r="75" customFormat="false" ht="15" hidden="false" customHeight="false" outlineLevel="0" collapsed="false">
      <c r="A75" s="10" t="str">
        <f aca="false">IF('1 Pieces'!A76="","",'1 Pieces'!A76)</f>
        <v/>
      </c>
      <c r="B75" s="10" t="str">
        <f aca="false">IF(A75="","",IFERROR(INDEX('1 Pieces'!H:H,MATCH(A75,'1 Pieces'!A:A,0)),""))</f>
        <v/>
      </c>
      <c r="C75" s="10" t="str">
        <f aca="false">IF(A75="","",SUMPRODUCT(('2 BOM lines'!$A$5:$A$612=A75)*('2 BOM lines'!$C$5:$C$612&lt;&gt;"MAKING")*IFERROR('2 BOM lines'!$F$5:$F$612,0)*IF('2 BOM lines'!$G$5:$G$612="CT",0.2,IF('2 BOM lines'!$G$5:$G$612="RATTI",0.1215,IF('2 BOM lines'!$G$5:$G$612="GM",1,0)))))</f>
        <v/>
      </c>
      <c r="D75" s="10" t="str">
        <f aca="false">IF(A75="","",ROUND(B75-C75,3))</f>
        <v/>
      </c>
      <c r="E75" s="12" t="str">
        <f aca="false">IF(A75="","",IF(ABS(D75)&lt;=0.05,"OK","CHECK THIS PIECE"))</f>
        <v/>
      </c>
    </row>
    <row r="76" customFormat="false" ht="15" hidden="false" customHeight="false" outlineLevel="0" collapsed="false">
      <c r="A76" s="10" t="str">
        <f aca="false">IF('1 Pieces'!A77="","",'1 Pieces'!A77)</f>
        <v/>
      </c>
      <c r="B76" s="10" t="str">
        <f aca="false">IF(A76="","",IFERROR(INDEX('1 Pieces'!H:H,MATCH(A76,'1 Pieces'!A:A,0)),""))</f>
        <v/>
      </c>
      <c r="C76" s="10" t="str">
        <f aca="false">IF(A76="","",SUMPRODUCT(('2 BOM lines'!$A$5:$A$612=A76)*('2 BOM lines'!$C$5:$C$612&lt;&gt;"MAKING")*IFERROR('2 BOM lines'!$F$5:$F$612,0)*IF('2 BOM lines'!$G$5:$G$612="CT",0.2,IF('2 BOM lines'!$G$5:$G$612="RATTI",0.1215,IF('2 BOM lines'!$G$5:$G$612="GM",1,0)))))</f>
        <v/>
      </c>
      <c r="D76" s="10" t="str">
        <f aca="false">IF(A76="","",ROUND(B76-C76,3))</f>
        <v/>
      </c>
      <c r="E76" s="12" t="str">
        <f aca="false">IF(A76="","",IF(ABS(D76)&lt;=0.05,"OK","CHECK THIS PIECE"))</f>
        <v/>
      </c>
    </row>
    <row r="77" customFormat="false" ht="15" hidden="false" customHeight="false" outlineLevel="0" collapsed="false">
      <c r="A77" s="10" t="str">
        <f aca="false">IF('1 Pieces'!A78="","",'1 Pieces'!A78)</f>
        <v/>
      </c>
      <c r="B77" s="10" t="str">
        <f aca="false">IF(A77="","",IFERROR(INDEX('1 Pieces'!H:H,MATCH(A77,'1 Pieces'!A:A,0)),""))</f>
        <v/>
      </c>
      <c r="C77" s="10" t="str">
        <f aca="false">IF(A77="","",SUMPRODUCT(('2 BOM lines'!$A$5:$A$612=A77)*('2 BOM lines'!$C$5:$C$612&lt;&gt;"MAKING")*IFERROR('2 BOM lines'!$F$5:$F$612,0)*IF('2 BOM lines'!$G$5:$G$612="CT",0.2,IF('2 BOM lines'!$G$5:$G$612="RATTI",0.1215,IF('2 BOM lines'!$G$5:$G$612="GM",1,0)))))</f>
        <v/>
      </c>
      <c r="D77" s="10" t="str">
        <f aca="false">IF(A77="","",ROUND(B77-C77,3))</f>
        <v/>
      </c>
      <c r="E77" s="12" t="str">
        <f aca="false">IF(A77="","",IF(ABS(D77)&lt;=0.05,"OK","CHECK THIS PIECE"))</f>
        <v/>
      </c>
    </row>
    <row r="78" customFormat="false" ht="15" hidden="false" customHeight="false" outlineLevel="0" collapsed="false">
      <c r="A78" s="10" t="str">
        <f aca="false">IF('1 Pieces'!A79="","",'1 Pieces'!A79)</f>
        <v/>
      </c>
      <c r="B78" s="10" t="str">
        <f aca="false">IF(A78="","",IFERROR(INDEX('1 Pieces'!H:H,MATCH(A78,'1 Pieces'!A:A,0)),""))</f>
        <v/>
      </c>
      <c r="C78" s="10" t="str">
        <f aca="false">IF(A78="","",SUMPRODUCT(('2 BOM lines'!$A$5:$A$612=A78)*('2 BOM lines'!$C$5:$C$612&lt;&gt;"MAKING")*IFERROR('2 BOM lines'!$F$5:$F$612,0)*IF('2 BOM lines'!$G$5:$G$612="CT",0.2,IF('2 BOM lines'!$G$5:$G$612="RATTI",0.1215,IF('2 BOM lines'!$G$5:$G$612="GM",1,0)))))</f>
        <v/>
      </c>
      <c r="D78" s="10" t="str">
        <f aca="false">IF(A78="","",ROUND(B78-C78,3))</f>
        <v/>
      </c>
      <c r="E78" s="12" t="str">
        <f aca="false">IF(A78="","",IF(ABS(D78)&lt;=0.05,"OK","CHECK THIS PIECE"))</f>
        <v/>
      </c>
    </row>
    <row r="79" customFormat="false" ht="15" hidden="false" customHeight="false" outlineLevel="0" collapsed="false">
      <c r="A79" s="10" t="str">
        <f aca="false">IF('1 Pieces'!A80="","",'1 Pieces'!A80)</f>
        <v/>
      </c>
      <c r="B79" s="10" t="str">
        <f aca="false">IF(A79="","",IFERROR(INDEX('1 Pieces'!H:H,MATCH(A79,'1 Pieces'!A:A,0)),""))</f>
        <v/>
      </c>
      <c r="C79" s="10" t="str">
        <f aca="false">IF(A79="","",SUMPRODUCT(('2 BOM lines'!$A$5:$A$612=A79)*('2 BOM lines'!$C$5:$C$612&lt;&gt;"MAKING")*IFERROR('2 BOM lines'!$F$5:$F$612,0)*IF('2 BOM lines'!$G$5:$G$612="CT",0.2,IF('2 BOM lines'!$G$5:$G$612="RATTI",0.1215,IF('2 BOM lines'!$G$5:$G$612="GM",1,0)))))</f>
        <v/>
      </c>
      <c r="D79" s="10" t="str">
        <f aca="false">IF(A79="","",ROUND(B79-C79,3))</f>
        <v/>
      </c>
      <c r="E79" s="12" t="str">
        <f aca="false">IF(A79="","",IF(ABS(D79)&lt;=0.05,"OK","CHECK THIS PIECE"))</f>
        <v/>
      </c>
    </row>
    <row r="80" customFormat="false" ht="15" hidden="false" customHeight="false" outlineLevel="0" collapsed="false">
      <c r="A80" s="10" t="str">
        <f aca="false">IF('1 Pieces'!A81="","",'1 Pieces'!A81)</f>
        <v/>
      </c>
      <c r="B80" s="10" t="str">
        <f aca="false">IF(A80="","",IFERROR(INDEX('1 Pieces'!H:H,MATCH(A80,'1 Pieces'!A:A,0)),""))</f>
        <v/>
      </c>
      <c r="C80" s="10" t="str">
        <f aca="false">IF(A80="","",SUMPRODUCT(('2 BOM lines'!$A$5:$A$612=A80)*('2 BOM lines'!$C$5:$C$612&lt;&gt;"MAKING")*IFERROR('2 BOM lines'!$F$5:$F$612,0)*IF('2 BOM lines'!$G$5:$G$612="CT",0.2,IF('2 BOM lines'!$G$5:$G$612="RATTI",0.1215,IF('2 BOM lines'!$G$5:$G$612="GM",1,0)))))</f>
        <v/>
      </c>
      <c r="D80" s="10" t="str">
        <f aca="false">IF(A80="","",ROUND(B80-C80,3))</f>
        <v/>
      </c>
      <c r="E80" s="12" t="str">
        <f aca="false">IF(A80="","",IF(ABS(D80)&lt;=0.05,"OK","CHECK THIS PIECE"))</f>
        <v/>
      </c>
    </row>
    <row r="81" customFormat="false" ht="15" hidden="false" customHeight="false" outlineLevel="0" collapsed="false">
      <c r="A81" s="10" t="str">
        <f aca="false">IF('1 Pieces'!A82="","",'1 Pieces'!A82)</f>
        <v/>
      </c>
      <c r="B81" s="10" t="str">
        <f aca="false">IF(A81="","",IFERROR(INDEX('1 Pieces'!H:H,MATCH(A81,'1 Pieces'!A:A,0)),""))</f>
        <v/>
      </c>
      <c r="C81" s="10" t="str">
        <f aca="false">IF(A81="","",SUMPRODUCT(('2 BOM lines'!$A$5:$A$612=A81)*('2 BOM lines'!$C$5:$C$612&lt;&gt;"MAKING")*IFERROR('2 BOM lines'!$F$5:$F$612,0)*IF('2 BOM lines'!$G$5:$G$612="CT",0.2,IF('2 BOM lines'!$G$5:$G$612="RATTI",0.1215,IF('2 BOM lines'!$G$5:$G$612="GM",1,0)))))</f>
        <v/>
      </c>
      <c r="D81" s="10" t="str">
        <f aca="false">IF(A81="","",ROUND(B81-C81,3))</f>
        <v/>
      </c>
      <c r="E81" s="12" t="str">
        <f aca="false">IF(A81="","",IF(ABS(D81)&lt;=0.05,"OK","CHECK THIS PIECE"))</f>
        <v/>
      </c>
    </row>
    <row r="82" customFormat="false" ht="15" hidden="false" customHeight="false" outlineLevel="0" collapsed="false">
      <c r="A82" s="10" t="str">
        <f aca="false">IF('1 Pieces'!A83="","",'1 Pieces'!A83)</f>
        <v/>
      </c>
      <c r="B82" s="10" t="str">
        <f aca="false">IF(A82="","",IFERROR(INDEX('1 Pieces'!H:H,MATCH(A82,'1 Pieces'!A:A,0)),""))</f>
        <v/>
      </c>
      <c r="C82" s="10" t="str">
        <f aca="false">IF(A82="","",SUMPRODUCT(('2 BOM lines'!$A$5:$A$612=A82)*('2 BOM lines'!$C$5:$C$612&lt;&gt;"MAKING")*IFERROR('2 BOM lines'!$F$5:$F$612,0)*IF('2 BOM lines'!$G$5:$G$612="CT",0.2,IF('2 BOM lines'!$G$5:$G$612="RATTI",0.1215,IF('2 BOM lines'!$G$5:$G$612="GM",1,0)))))</f>
        <v/>
      </c>
      <c r="D82" s="10" t="str">
        <f aca="false">IF(A82="","",ROUND(B82-C82,3))</f>
        <v/>
      </c>
      <c r="E82" s="12" t="str">
        <f aca="false">IF(A82="","",IF(ABS(D82)&lt;=0.05,"OK","CHECK THIS PIECE"))</f>
        <v/>
      </c>
    </row>
    <row r="83" customFormat="false" ht="15" hidden="false" customHeight="false" outlineLevel="0" collapsed="false">
      <c r="A83" s="10" t="str">
        <f aca="false">IF('1 Pieces'!A84="","",'1 Pieces'!A84)</f>
        <v/>
      </c>
      <c r="B83" s="10" t="str">
        <f aca="false">IF(A83="","",IFERROR(INDEX('1 Pieces'!H:H,MATCH(A83,'1 Pieces'!A:A,0)),""))</f>
        <v/>
      </c>
      <c r="C83" s="10" t="str">
        <f aca="false">IF(A83="","",SUMPRODUCT(('2 BOM lines'!$A$5:$A$612=A83)*('2 BOM lines'!$C$5:$C$612&lt;&gt;"MAKING")*IFERROR('2 BOM lines'!$F$5:$F$612,0)*IF('2 BOM lines'!$G$5:$G$612="CT",0.2,IF('2 BOM lines'!$G$5:$G$612="RATTI",0.1215,IF('2 BOM lines'!$G$5:$G$612="GM",1,0)))))</f>
        <v/>
      </c>
      <c r="D83" s="10" t="str">
        <f aca="false">IF(A83="","",ROUND(B83-C83,3))</f>
        <v/>
      </c>
      <c r="E83" s="12" t="str">
        <f aca="false">IF(A83="","",IF(ABS(D83)&lt;=0.05,"OK","CHECK THIS PIECE"))</f>
        <v/>
      </c>
    </row>
    <row r="84" customFormat="false" ht="15" hidden="false" customHeight="false" outlineLevel="0" collapsed="false">
      <c r="A84" s="10" t="str">
        <f aca="false">IF('1 Pieces'!A85="","",'1 Pieces'!A85)</f>
        <v/>
      </c>
      <c r="B84" s="10" t="str">
        <f aca="false">IF(A84="","",IFERROR(INDEX('1 Pieces'!H:H,MATCH(A84,'1 Pieces'!A:A,0)),""))</f>
        <v/>
      </c>
      <c r="C84" s="10" t="str">
        <f aca="false">IF(A84="","",SUMPRODUCT(('2 BOM lines'!$A$5:$A$612=A84)*('2 BOM lines'!$C$5:$C$612&lt;&gt;"MAKING")*IFERROR('2 BOM lines'!$F$5:$F$612,0)*IF('2 BOM lines'!$G$5:$G$612="CT",0.2,IF('2 BOM lines'!$G$5:$G$612="RATTI",0.1215,IF('2 BOM lines'!$G$5:$G$612="GM",1,0)))))</f>
        <v/>
      </c>
      <c r="D84" s="10" t="str">
        <f aca="false">IF(A84="","",ROUND(B84-C84,3))</f>
        <v/>
      </c>
      <c r="E84" s="12" t="str">
        <f aca="false">IF(A84="","",IF(ABS(D84)&lt;=0.05,"OK","CHECK THIS PIECE"))</f>
        <v/>
      </c>
    </row>
    <row r="85" customFormat="false" ht="15" hidden="false" customHeight="false" outlineLevel="0" collapsed="false">
      <c r="A85" s="10" t="str">
        <f aca="false">IF('1 Pieces'!A86="","",'1 Pieces'!A86)</f>
        <v/>
      </c>
      <c r="B85" s="10" t="str">
        <f aca="false">IF(A85="","",IFERROR(INDEX('1 Pieces'!H:H,MATCH(A85,'1 Pieces'!A:A,0)),""))</f>
        <v/>
      </c>
      <c r="C85" s="10" t="str">
        <f aca="false">IF(A85="","",SUMPRODUCT(('2 BOM lines'!$A$5:$A$612=A85)*('2 BOM lines'!$C$5:$C$612&lt;&gt;"MAKING")*IFERROR('2 BOM lines'!$F$5:$F$612,0)*IF('2 BOM lines'!$G$5:$G$612="CT",0.2,IF('2 BOM lines'!$G$5:$G$612="RATTI",0.1215,IF('2 BOM lines'!$G$5:$G$612="GM",1,0)))))</f>
        <v/>
      </c>
      <c r="D85" s="10" t="str">
        <f aca="false">IF(A85="","",ROUND(B85-C85,3))</f>
        <v/>
      </c>
      <c r="E85" s="12" t="str">
        <f aca="false">IF(A85="","",IF(ABS(D85)&lt;=0.05,"OK","CHECK THIS PIECE"))</f>
        <v/>
      </c>
    </row>
    <row r="86" customFormat="false" ht="15" hidden="false" customHeight="false" outlineLevel="0" collapsed="false">
      <c r="A86" s="10" t="str">
        <f aca="false">IF('1 Pieces'!A87="","",'1 Pieces'!A87)</f>
        <v/>
      </c>
      <c r="B86" s="10" t="str">
        <f aca="false">IF(A86="","",IFERROR(INDEX('1 Pieces'!H:H,MATCH(A86,'1 Pieces'!A:A,0)),""))</f>
        <v/>
      </c>
      <c r="C86" s="10" t="str">
        <f aca="false">IF(A86="","",SUMPRODUCT(('2 BOM lines'!$A$5:$A$612=A86)*('2 BOM lines'!$C$5:$C$612&lt;&gt;"MAKING")*IFERROR('2 BOM lines'!$F$5:$F$612,0)*IF('2 BOM lines'!$G$5:$G$612="CT",0.2,IF('2 BOM lines'!$G$5:$G$612="RATTI",0.1215,IF('2 BOM lines'!$G$5:$G$612="GM",1,0)))))</f>
        <v/>
      </c>
      <c r="D86" s="10" t="str">
        <f aca="false">IF(A86="","",ROUND(B86-C86,3))</f>
        <v/>
      </c>
      <c r="E86" s="12" t="str">
        <f aca="false">IF(A86="","",IF(ABS(D86)&lt;=0.05,"OK","CHECK THIS PIECE"))</f>
        <v/>
      </c>
    </row>
    <row r="87" customFormat="false" ht="15" hidden="false" customHeight="false" outlineLevel="0" collapsed="false">
      <c r="A87" s="10" t="str">
        <f aca="false">IF('1 Pieces'!A88="","",'1 Pieces'!A88)</f>
        <v/>
      </c>
      <c r="B87" s="10" t="str">
        <f aca="false">IF(A87="","",IFERROR(INDEX('1 Pieces'!H:H,MATCH(A87,'1 Pieces'!A:A,0)),""))</f>
        <v/>
      </c>
      <c r="C87" s="10" t="str">
        <f aca="false">IF(A87="","",SUMPRODUCT(('2 BOM lines'!$A$5:$A$612=A87)*('2 BOM lines'!$C$5:$C$612&lt;&gt;"MAKING")*IFERROR('2 BOM lines'!$F$5:$F$612,0)*IF('2 BOM lines'!$G$5:$G$612="CT",0.2,IF('2 BOM lines'!$G$5:$G$612="RATTI",0.1215,IF('2 BOM lines'!$G$5:$G$612="GM",1,0)))))</f>
        <v/>
      </c>
      <c r="D87" s="10" t="str">
        <f aca="false">IF(A87="","",ROUND(B87-C87,3))</f>
        <v/>
      </c>
      <c r="E87" s="12" t="str">
        <f aca="false">IF(A87="","",IF(ABS(D87)&lt;=0.05,"OK","CHECK THIS PIECE"))</f>
        <v/>
      </c>
    </row>
    <row r="88" customFormat="false" ht="15" hidden="false" customHeight="false" outlineLevel="0" collapsed="false">
      <c r="A88" s="10" t="str">
        <f aca="false">IF('1 Pieces'!A89="","",'1 Pieces'!A89)</f>
        <v/>
      </c>
      <c r="B88" s="10" t="str">
        <f aca="false">IF(A88="","",IFERROR(INDEX('1 Pieces'!H:H,MATCH(A88,'1 Pieces'!A:A,0)),""))</f>
        <v/>
      </c>
      <c r="C88" s="10" t="str">
        <f aca="false">IF(A88="","",SUMPRODUCT(('2 BOM lines'!$A$5:$A$612=A88)*('2 BOM lines'!$C$5:$C$612&lt;&gt;"MAKING")*IFERROR('2 BOM lines'!$F$5:$F$612,0)*IF('2 BOM lines'!$G$5:$G$612="CT",0.2,IF('2 BOM lines'!$G$5:$G$612="RATTI",0.1215,IF('2 BOM lines'!$G$5:$G$612="GM",1,0)))))</f>
        <v/>
      </c>
      <c r="D88" s="10" t="str">
        <f aca="false">IF(A88="","",ROUND(B88-C88,3))</f>
        <v/>
      </c>
      <c r="E88" s="12" t="str">
        <f aca="false">IF(A88="","",IF(ABS(D88)&lt;=0.05,"OK","CHECK THIS PIECE"))</f>
        <v/>
      </c>
    </row>
    <row r="89" customFormat="false" ht="15" hidden="false" customHeight="false" outlineLevel="0" collapsed="false">
      <c r="A89" s="10" t="str">
        <f aca="false">IF('1 Pieces'!A90="","",'1 Pieces'!A90)</f>
        <v/>
      </c>
      <c r="B89" s="10" t="str">
        <f aca="false">IF(A89="","",IFERROR(INDEX('1 Pieces'!H:H,MATCH(A89,'1 Pieces'!A:A,0)),""))</f>
        <v/>
      </c>
      <c r="C89" s="10" t="str">
        <f aca="false">IF(A89="","",SUMPRODUCT(('2 BOM lines'!$A$5:$A$612=A89)*('2 BOM lines'!$C$5:$C$612&lt;&gt;"MAKING")*IFERROR('2 BOM lines'!$F$5:$F$612,0)*IF('2 BOM lines'!$G$5:$G$612="CT",0.2,IF('2 BOM lines'!$G$5:$G$612="RATTI",0.1215,IF('2 BOM lines'!$G$5:$G$612="GM",1,0)))))</f>
        <v/>
      </c>
      <c r="D89" s="10" t="str">
        <f aca="false">IF(A89="","",ROUND(B89-C89,3))</f>
        <v/>
      </c>
      <c r="E89" s="12" t="str">
        <f aca="false">IF(A89="","",IF(ABS(D89)&lt;=0.05,"OK","CHECK THIS PIECE"))</f>
        <v/>
      </c>
    </row>
    <row r="90" customFormat="false" ht="15" hidden="false" customHeight="false" outlineLevel="0" collapsed="false">
      <c r="A90" s="10" t="str">
        <f aca="false">IF('1 Pieces'!A91="","",'1 Pieces'!A91)</f>
        <v/>
      </c>
      <c r="B90" s="10" t="str">
        <f aca="false">IF(A90="","",IFERROR(INDEX('1 Pieces'!H:H,MATCH(A90,'1 Pieces'!A:A,0)),""))</f>
        <v/>
      </c>
      <c r="C90" s="10" t="str">
        <f aca="false">IF(A90="","",SUMPRODUCT(('2 BOM lines'!$A$5:$A$612=A90)*('2 BOM lines'!$C$5:$C$612&lt;&gt;"MAKING")*IFERROR('2 BOM lines'!$F$5:$F$612,0)*IF('2 BOM lines'!$G$5:$G$612="CT",0.2,IF('2 BOM lines'!$G$5:$G$612="RATTI",0.1215,IF('2 BOM lines'!$G$5:$G$612="GM",1,0)))))</f>
        <v/>
      </c>
      <c r="D90" s="10" t="str">
        <f aca="false">IF(A90="","",ROUND(B90-C90,3))</f>
        <v/>
      </c>
      <c r="E90" s="12" t="str">
        <f aca="false">IF(A90="","",IF(ABS(D90)&lt;=0.05,"OK","CHECK THIS PIECE"))</f>
        <v/>
      </c>
    </row>
    <row r="91" customFormat="false" ht="15" hidden="false" customHeight="false" outlineLevel="0" collapsed="false">
      <c r="A91" s="10" t="str">
        <f aca="false">IF('1 Pieces'!A92="","",'1 Pieces'!A92)</f>
        <v/>
      </c>
      <c r="B91" s="10" t="str">
        <f aca="false">IF(A91="","",IFERROR(INDEX('1 Pieces'!H:H,MATCH(A91,'1 Pieces'!A:A,0)),""))</f>
        <v/>
      </c>
      <c r="C91" s="10" t="str">
        <f aca="false">IF(A91="","",SUMPRODUCT(('2 BOM lines'!$A$5:$A$612=A91)*('2 BOM lines'!$C$5:$C$612&lt;&gt;"MAKING")*IFERROR('2 BOM lines'!$F$5:$F$612,0)*IF('2 BOM lines'!$G$5:$G$612="CT",0.2,IF('2 BOM lines'!$G$5:$G$612="RATTI",0.1215,IF('2 BOM lines'!$G$5:$G$612="GM",1,0)))))</f>
        <v/>
      </c>
      <c r="D91" s="10" t="str">
        <f aca="false">IF(A91="","",ROUND(B91-C91,3))</f>
        <v/>
      </c>
      <c r="E91" s="12" t="str">
        <f aca="false">IF(A91="","",IF(ABS(D91)&lt;=0.05,"OK","CHECK THIS PIECE"))</f>
        <v/>
      </c>
    </row>
    <row r="92" customFormat="false" ht="15" hidden="false" customHeight="false" outlineLevel="0" collapsed="false">
      <c r="A92" s="10" t="str">
        <f aca="false">IF('1 Pieces'!A93="","",'1 Pieces'!A93)</f>
        <v/>
      </c>
      <c r="B92" s="10" t="str">
        <f aca="false">IF(A92="","",IFERROR(INDEX('1 Pieces'!H:H,MATCH(A92,'1 Pieces'!A:A,0)),""))</f>
        <v/>
      </c>
      <c r="C92" s="10" t="str">
        <f aca="false">IF(A92="","",SUMPRODUCT(('2 BOM lines'!$A$5:$A$612=A92)*('2 BOM lines'!$C$5:$C$612&lt;&gt;"MAKING")*IFERROR('2 BOM lines'!$F$5:$F$612,0)*IF('2 BOM lines'!$G$5:$G$612="CT",0.2,IF('2 BOM lines'!$G$5:$G$612="RATTI",0.1215,IF('2 BOM lines'!$G$5:$G$612="GM",1,0)))))</f>
        <v/>
      </c>
      <c r="D92" s="10" t="str">
        <f aca="false">IF(A92="","",ROUND(B92-C92,3))</f>
        <v/>
      </c>
      <c r="E92" s="12" t="str">
        <f aca="false">IF(A92="","",IF(ABS(D92)&lt;=0.05,"OK","CHECK THIS PIECE"))</f>
        <v/>
      </c>
    </row>
    <row r="93" customFormat="false" ht="15" hidden="false" customHeight="false" outlineLevel="0" collapsed="false">
      <c r="A93" s="10" t="str">
        <f aca="false">IF('1 Pieces'!A94="","",'1 Pieces'!A94)</f>
        <v/>
      </c>
      <c r="B93" s="10" t="str">
        <f aca="false">IF(A93="","",IFERROR(INDEX('1 Pieces'!H:H,MATCH(A93,'1 Pieces'!A:A,0)),""))</f>
        <v/>
      </c>
      <c r="C93" s="10" t="str">
        <f aca="false">IF(A93="","",SUMPRODUCT(('2 BOM lines'!$A$5:$A$612=A93)*('2 BOM lines'!$C$5:$C$612&lt;&gt;"MAKING")*IFERROR('2 BOM lines'!$F$5:$F$612,0)*IF('2 BOM lines'!$G$5:$G$612="CT",0.2,IF('2 BOM lines'!$G$5:$G$612="RATTI",0.1215,IF('2 BOM lines'!$G$5:$G$612="GM",1,0)))))</f>
        <v/>
      </c>
      <c r="D93" s="10" t="str">
        <f aca="false">IF(A93="","",ROUND(B93-C93,3))</f>
        <v/>
      </c>
      <c r="E93" s="12" t="str">
        <f aca="false">IF(A93="","",IF(ABS(D93)&lt;=0.05,"OK","CHECK THIS PIECE"))</f>
        <v/>
      </c>
    </row>
    <row r="94" customFormat="false" ht="15" hidden="false" customHeight="false" outlineLevel="0" collapsed="false">
      <c r="A94" s="10" t="str">
        <f aca="false">IF('1 Pieces'!A95="","",'1 Pieces'!A95)</f>
        <v/>
      </c>
      <c r="B94" s="10" t="str">
        <f aca="false">IF(A94="","",IFERROR(INDEX('1 Pieces'!H:H,MATCH(A94,'1 Pieces'!A:A,0)),""))</f>
        <v/>
      </c>
      <c r="C94" s="10" t="str">
        <f aca="false">IF(A94="","",SUMPRODUCT(('2 BOM lines'!$A$5:$A$612=A94)*('2 BOM lines'!$C$5:$C$612&lt;&gt;"MAKING")*IFERROR('2 BOM lines'!$F$5:$F$612,0)*IF('2 BOM lines'!$G$5:$G$612="CT",0.2,IF('2 BOM lines'!$G$5:$G$612="RATTI",0.1215,IF('2 BOM lines'!$G$5:$G$612="GM",1,0)))))</f>
        <v/>
      </c>
      <c r="D94" s="10" t="str">
        <f aca="false">IF(A94="","",ROUND(B94-C94,3))</f>
        <v/>
      </c>
      <c r="E94" s="12" t="str">
        <f aca="false">IF(A94="","",IF(ABS(D94)&lt;=0.05,"OK","CHECK THIS PIECE"))</f>
        <v/>
      </c>
    </row>
    <row r="95" customFormat="false" ht="15" hidden="false" customHeight="false" outlineLevel="0" collapsed="false">
      <c r="A95" s="10" t="str">
        <f aca="false">IF('1 Pieces'!A96="","",'1 Pieces'!A96)</f>
        <v/>
      </c>
      <c r="B95" s="10" t="str">
        <f aca="false">IF(A95="","",IFERROR(INDEX('1 Pieces'!H:H,MATCH(A95,'1 Pieces'!A:A,0)),""))</f>
        <v/>
      </c>
      <c r="C95" s="10" t="str">
        <f aca="false">IF(A95="","",SUMPRODUCT(('2 BOM lines'!$A$5:$A$612=A95)*('2 BOM lines'!$C$5:$C$612&lt;&gt;"MAKING")*IFERROR('2 BOM lines'!$F$5:$F$612,0)*IF('2 BOM lines'!$G$5:$G$612="CT",0.2,IF('2 BOM lines'!$G$5:$G$612="RATTI",0.1215,IF('2 BOM lines'!$G$5:$G$612="GM",1,0)))))</f>
        <v/>
      </c>
      <c r="D95" s="10" t="str">
        <f aca="false">IF(A95="","",ROUND(B95-C95,3))</f>
        <v/>
      </c>
      <c r="E95" s="12" t="str">
        <f aca="false">IF(A95="","",IF(ABS(D95)&lt;=0.05,"OK","CHECK THIS PIECE"))</f>
        <v/>
      </c>
    </row>
    <row r="96" customFormat="false" ht="15" hidden="false" customHeight="false" outlineLevel="0" collapsed="false">
      <c r="A96" s="10" t="str">
        <f aca="false">IF('1 Pieces'!A97="","",'1 Pieces'!A97)</f>
        <v/>
      </c>
      <c r="B96" s="10" t="str">
        <f aca="false">IF(A96="","",IFERROR(INDEX('1 Pieces'!H:H,MATCH(A96,'1 Pieces'!A:A,0)),""))</f>
        <v/>
      </c>
      <c r="C96" s="10" t="str">
        <f aca="false">IF(A96="","",SUMPRODUCT(('2 BOM lines'!$A$5:$A$612=A96)*('2 BOM lines'!$C$5:$C$612&lt;&gt;"MAKING")*IFERROR('2 BOM lines'!$F$5:$F$612,0)*IF('2 BOM lines'!$G$5:$G$612="CT",0.2,IF('2 BOM lines'!$G$5:$G$612="RATTI",0.1215,IF('2 BOM lines'!$G$5:$G$612="GM",1,0)))))</f>
        <v/>
      </c>
      <c r="D96" s="10" t="str">
        <f aca="false">IF(A96="","",ROUND(B96-C96,3))</f>
        <v/>
      </c>
      <c r="E96" s="12" t="str">
        <f aca="false">IF(A96="","",IF(ABS(D96)&lt;=0.05,"OK","CHECK THIS PIECE"))</f>
        <v/>
      </c>
    </row>
    <row r="97" customFormat="false" ht="15" hidden="false" customHeight="false" outlineLevel="0" collapsed="false">
      <c r="A97" s="10" t="str">
        <f aca="false">IF('1 Pieces'!A98="","",'1 Pieces'!A98)</f>
        <v/>
      </c>
      <c r="B97" s="10" t="str">
        <f aca="false">IF(A97="","",IFERROR(INDEX('1 Pieces'!H:H,MATCH(A97,'1 Pieces'!A:A,0)),""))</f>
        <v/>
      </c>
      <c r="C97" s="10" t="str">
        <f aca="false">IF(A97="","",SUMPRODUCT(('2 BOM lines'!$A$5:$A$612=A97)*('2 BOM lines'!$C$5:$C$612&lt;&gt;"MAKING")*IFERROR('2 BOM lines'!$F$5:$F$612,0)*IF('2 BOM lines'!$G$5:$G$612="CT",0.2,IF('2 BOM lines'!$G$5:$G$612="RATTI",0.1215,IF('2 BOM lines'!$G$5:$G$612="GM",1,0)))))</f>
        <v/>
      </c>
      <c r="D97" s="10" t="str">
        <f aca="false">IF(A97="","",ROUND(B97-C97,3))</f>
        <v/>
      </c>
      <c r="E97" s="12" t="str">
        <f aca="false">IF(A97="","",IF(ABS(D97)&lt;=0.05,"OK","CHECK THIS PIECE"))</f>
        <v/>
      </c>
    </row>
    <row r="98" customFormat="false" ht="15" hidden="false" customHeight="false" outlineLevel="0" collapsed="false">
      <c r="A98" s="10" t="str">
        <f aca="false">IF('1 Pieces'!A99="","",'1 Pieces'!A99)</f>
        <v/>
      </c>
      <c r="B98" s="10" t="str">
        <f aca="false">IF(A98="","",IFERROR(INDEX('1 Pieces'!H:H,MATCH(A98,'1 Pieces'!A:A,0)),""))</f>
        <v/>
      </c>
      <c r="C98" s="10" t="str">
        <f aca="false">IF(A98="","",SUMPRODUCT(('2 BOM lines'!$A$5:$A$612=A98)*('2 BOM lines'!$C$5:$C$612&lt;&gt;"MAKING")*IFERROR('2 BOM lines'!$F$5:$F$612,0)*IF('2 BOM lines'!$G$5:$G$612="CT",0.2,IF('2 BOM lines'!$G$5:$G$612="RATTI",0.1215,IF('2 BOM lines'!$G$5:$G$612="GM",1,0)))))</f>
        <v/>
      </c>
      <c r="D98" s="10" t="str">
        <f aca="false">IF(A98="","",ROUND(B98-C98,3))</f>
        <v/>
      </c>
      <c r="E98" s="12" t="str">
        <f aca="false">IF(A98="","",IF(ABS(D98)&lt;=0.05,"OK","CHECK THIS PIECE"))</f>
        <v/>
      </c>
    </row>
    <row r="99" customFormat="false" ht="15" hidden="false" customHeight="false" outlineLevel="0" collapsed="false">
      <c r="A99" s="10" t="str">
        <f aca="false">IF('1 Pieces'!A100="","",'1 Pieces'!A100)</f>
        <v/>
      </c>
      <c r="B99" s="10" t="str">
        <f aca="false">IF(A99="","",IFERROR(INDEX('1 Pieces'!H:H,MATCH(A99,'1 Pieces'!A:A,0)),""))</f>
        <v/>
      </c>
      <c r="C99" s="10" t="str">
        <f aca="false">IF(A99="","",SUMPRODUCT(('2 BOM lines'!$A$5:$A$612=A99)*('2 BOM lines'!$C$5:$C$612&lt;&gt;"MAKING")*IFERROR('2 BOM lines'!$F$5:$F$612,0)*IF('2 BOM lines'!$G$5:$G$612="CT",0.2,IF('2 BOM lines'!$G$5:$G$612="RATTI",0.1215,IF('2 BOM lines'!$G$5:$G$612="GM",1,0)))))</f>
        <v/>
      </c>
      <c r="D99" s="10" t="str">
        <f aca="false">IF(A99="","",ROUND(B99-C99,3))</f>
        <v/>
      </c>
      <c r="E99" s="12" t="str">
        <f aca="false">IF(A99="","",IF(ABS(D99)&lt;=0.05,"OK","CHECK THIS PIECE"))</f>
        <v/>
      </c>
    </row>
    <row r="100" customFormat="false" ht="15" hidden="false" customHeight="false" outlineLevel="0" collapsed="false">
      <c r="A100" s="10" t="str">
        <f aca="false">IF('1 Pieces'!A101="","",'1 Pieces'!A101)</f>
        <v/>
      </c>
      <c r="B100" s="10" t="str">
        <f aca="false">IF(A100="","",IFERROR(INDEX('1 Pieces'!H:H,MATCH(A100,'1 Pieces'!A:A,0)),""))</f>
        <v/>
      </c>
      <c r="C100" s="10" t="str">
        <f aca="false">IF(A100="","",SUMPRODUCT(('2 BOM lines'!$A$5:$A$612=A100)*('2 BOM lines'!$C$5:$C$612&lt;&gt;"MAKING")*IFERROR('2 BOM lines'!$F$5:$F$612,0)*IF('2 BOM lines'!$G$5:$G$612="CT",0.2,IF('2 BOM lines'!$G$5:$G$612="RATTI",0.1215,IF('2 BOM lines'!$G$5:$G$612="GM",1,0)))))</f>
        <v/>
      </c>
      <c r="D100" s="10" t="str">
        <f aca="false">IF(A100="","",ROUND(B100-C100,3))</f>
        <v/>
      </c>
      <c r="E100" s="12" t="str">
        <f aca="false">IF(A100="","",IF(ABS(D100)&lt;=0.05,"OK","CHECK THIS PIECE"))</f>
        <v/>
      </c>
    </row>
    <row r="101" customFormat="false" ht="15" hidden="false" customHeight="false" outlineLevel="0" collapsed="false">
      <c r="A101" s="10" t="str">
        <f aca="false">IF('1 Pieces'!A102="","",'1 Pieces'!A102)</f>
        <v/>
      </c>
      <c r="B101" s="10" t="str">
        <f aca="false">IF(A101="","",IFERROR(INDEX('1 Pieces'!H:H,MATCH(A101,'1 Pieces'!A:A,0)),""))</f>
        <v/>
      </c>
      <c r="C101" s="10" t="str">
        <f aca="false">IF(A101="","",SUMPRODUCT(('2 BOM lines'!$A$5:$A$612=A101)*('2 BOM lines'!$C$5:$C$612&lt;&gt;"MAKING")*IFERROR('2 BOM lines'!$F$5:$F$612,0)*IF('2 BOM lines'!$G$5:$G$612="CT",0.2,IF('2 BOM lines'!$G$5:$G$612="RATTI",0.1215,IF('2 BOM lines'!$G$5:$G$612="GM",1,0)))))</f>
        <v/>
      </c>
      <c r="D101" s="10" t="str">
        <f aca="false">IF(A101="","",ROUND(B101-C101,3))</f>
        <v/>
      </c>
      <c r="E101" s="12" t="str">
        <f aca="false">IF(A101="","",IF(ABS(D101)&lt;=0.05,"OK","CHECK THIS PIECE"))</f>
        <v/>
      </c>
    </row>
    <row r="102" customFormat="false" ht="15" hidden="false" customHeight="false" outlineLevel="0" collapsed="false">
      <c r="A102" s="10" t="str">
        <f aca="false">IF('1 Pieces'!A103="","",'1 Pieces'!A103)</f>
        <v/>
      </c>
      <c r="B102" s="10" t="str">
        <f aca="false">IF(A102="","",IFERROR(INDEX('1 Pieces'!H:H,MATCH(A102,'1 Pieces'!A:A,0)),""))</f>
        <v/>
      </c>
      <c r="C102" s="10" t="str">
        <f aca="false">IF(A102="","",SUMPRODUCT(('2 BOM lines'!$A$5:$A$612=A102)*('2 BOM lines'!$C$5:$C$612&lt;&gt;"MAKING")*IFERROR('2 BOM lines'!$F$5:$F$612,0)*IF('2 BOM lines'!$G$5:$G$612="CT",0.2,IF('2 BOM lines'!$G$5:$G$612="RATTI",0.1215,IF('2 BOM lines'!$G$5:$G$612="GM",1,0)))))</f>
        <v/>
      </c>
      <c r="D102" s="10" t="str">
        <f aca="false">IF(A102="","",ROUND(B102-C102,3))</f>
        <v/>
      </c>
      <c r="E102" s="12" t="str">
        <f aca="false">IF(A102="","",IF(ABS(D102)&lt;=0.05,"OK","CHECK THIS PIECE"))</f>
        <v/>
      </c>
    </row>
    <row r="103" customFormat="false" ht="15" hidden="false" customHeight="false" outlineLevel="0" collapsed="false">
      <c r="A103" s="10" t="str">
        <f aca="false">IF('1 Pieces'!A104="","",'1 Pieces'!A104)</f>
        <v/>
      </c>
      <c r="B103" s="10" t="str">
        <f aca="false">IF(A103="","",IFERROR(INDEX('1 Pieces'!H:H,MATCH(A103,'1 Pieces'!A:A,0)),""))</f>
        <v/>
      </c>
      <c r="C103" s="10" t="str">
        <f aca="false">IF(A103="","",SUMPRODUCT(('2 BOM lines'!$A$5:$A$612=A103)*('2 BOM lines'!$C$5:$C$612&lt;&gt;"MAKING")*IFERROR('2 BOM lines'!$F$5:$F$612,0)*IF('2 BOM lines'!$G$5:$G$612="CT",0.2,IF('2 BOM lines'!$G$5:$G$612="RATTI",0.1215,IF('2 BOM lines'!$G$5:$G$612="GM",1,0)))))</f>
        <v/>
      </c>
      <c r="D103" s="10" t="str">
        <f aca="false">IF(A103="","",ROUND(B103-C103,3))</f>
        <v/>
      </c>
      <c r="E103" s="12" t="str">
        <f aca="false">IF(A103="","",IF(ABS(D103)&lt;=0.05,"OK","CHECK THIS PIECE"))</f>
        <v/>
      </c>
    </row>
    <row r="104" customFormat="false" ht="15" hidden="false" customHeight="false" outlineLevel="0" collapsed="false">
      <c r="A104" s="10" t="str">
        <f aca="false">IF('1 Pieces'!A105="","",'1 Pieces'!A105)</f>
        <v/>
      </c>
      <c r="B104" s="10" t="str">
        <f aca="false">IF(A104="","",IFERROR(INDEX('1 Pieces'!H:H,MATCH(A104,'1 Pieces'!A:A,0)),""))</f>
        <v/>
      </c>
      <c r="C104" s="10" t="str">
        <f aca="false">IF(A104="","",SUMPRODUCT(('2 BOM lines'!$A$5:$A$612=A104)*('2 BOM lines'!$C$5:$C$612&lt;&gt;"MAKING")*IFERROR('2 BOM lines'!$F$5:$F$612,0)*IF('2 BOM lines'!$G$5:$G$612="CT",0.2,IF('2 BOM lines'!$G$5:$G$612="RATTI",0.1215,IF('2 BOM lines'!$G$5:$G$612="GM",1,0)))))</f>
        <v/>
      </c>
      <c r="D104" s="10" t="str">
        <f aca="false">IF(A104="","",ROUND(B104-C104,3))</f>
        <v/>
      </c>
      <c r="E104" s="12" t="str">
        <f aca="false">IF(A104="","",IF(ABS(D104)&lt;=0.05,"OK","CHECK THIS PIECE"))</f>
        <v/>
      </c>
    </row>
    <row r="105" customFormat="false" ht="15" hidden="false" customHeight="false" outlineLevel="0" collapsed="false">
      <c r="A105" s="10" t="str">
        <f aca="false">IF('1 Pieces'!A106="","",'1 Pieces'!A106)</f>
        <v/>
      </c>
      <c r="B105" s="10" t="str">
        <f aca="false">IF(A105="","",IFERROR(INDEX('1 Pieces'!H:H,MATCH(A105,'1 Pieces'!A:A,0)),""))</f>
        <v/>
      </c>
      <c r="C105" s="10" t="str">
        <f aca="false">IF(A105="","",SUMPRODUCT(('2 BOM lines'!$A$5:$A$612=A105)*('2 BOM lines'!$C$5:$C$612&lt;&gt;"MAKING")*IFERROR('2 BOM lines'!$F$5:$F$612,0)*IF('2 BOM lines'!$G$5:$G$612="CT",0.2,IF('2 BOM lines'!$G$5:$G$612="RATTI",0.1215,IF('2 BOM lines'!$G$5:$G$612="GM",1,0)))))</f>
        <v/>
      </c>
      <c r="D105" s="10" t="str">
        <f aca="false">IF(A105="","",ROUND(B105-C105,3))</f>
        <v/>
      </c>
      <c r="E105" s="12" t="str">
        <f aca="false">IF(A105="","",IF(ABS(D105)&lt;=0.05,"OK","CHECK THIS PIECE"))</f>
        <v/>
      </c>
    </row>
    <row r="106" customFormat="false" ht="15" hidden="false" customHeight="false" outlineLevel="0" collapsed="false">
      <c r="A106" s="10" t="str">
        <f aca="false">IF('1 Pieces'!A107="","",'1 Pieces'!A107)</f>
        <v/>
      </c>
      <c r="B106" s="10" t="str">
        <f aca="false">IF(A106="","",IFERROR(INDEX('1 Pieces'!H:H,MATCH(A106,'1 Pieces'!A:A,0)),""))</f>
        <v/>
      </c>
      <c r="C106" s="10" t="str">
        <f aca="false">IF(A106="","",SUMPRODUCT(('2 BOM lines'!$A$5:$A$612=A106)*('2 BOM lines'!$C$5:$C$612&lt;&gt;"MAKING")*IFERROR('2 BOM lines'!$F$5:$F$612,0)*IF('2 BOM lines'!$G$5:$G$612="CT",0.2,IF('2 BOM lines'!$G$5:$G$612="RATTI",0.1215,IF('2 BOM lines'!$G$5:$G$612="GM",1,0)))))</f>
        <v/>
      </c>
      <c r="D106" s="10" t="str">
        <f aca="false">IF(A106="","",ROUND(B106-C106,3))</f>
        <v/>
      </c>
      <c r="E106" s="12" t="str">
        <f aca="false">IF(A106="","",IF(ABS(D106)&lt;=0.05,"OK","CHECK THIS PIECE"))</f>
        <v/>
      </c>
    </row>
    <row r="107" customFormat="false" ht="15" hidden="false" customHeight="false" outlineLevel="0" collapsed="false">
      <c r="A107" s="10" t="str">
        <f aca="false">IF('1 Pieces'!A108="","",'1 Pieces'!A108)</f>
        <v/>
      </c>
      <c r="B107" s="10" t="str">
        <f aca="false">IF(A107="","",IFERROR(INDEX('1 Pieces'!H:H,MATCH(A107,'1 Pieces'!A:A,0)),""))</f>
        <v/>
      </c>
      <c r="C107" s="10" t="str">
        <f aca="false">IF(A107="","",SUMPRODUCT(('2 BOM lines'!$A$5:$A$612=A107)*('2 BOM lines'!$C$5:$C$612&lt;&gt;"MAKING")*IFERROR('2 BOM lines'!$F$5:$F$612,0)*IF('2 BOM lines'!$G$5:$G$612="CT",0.2,IF('2 BOM lines'!$G$5:$G$612="RATTI",0.1215,IF('2 BOM lines'!$G$5:$G$612="GM",1,0)))))</f>
        <v/>
      </c>
      <c r="D107" s="10" t="str">
        <f aca="false">IF(A107="","",ROUND(B107-C107,3))</f>
        <v/>
      </c>
      <c r="E107" s="12" t="str">
        <f aca="false">IF(A107="","",IF(ABS(D107)&lt;=0.05,"OK","CHECK THIS PIECE"))</f>
        <v/>
      </c>
    </row>
    <row r="108" customFormat="false" ht="15" hidden="false" customHeight="false" outlineLevel="0" collapsed="false">
      <c r="A108" s="10" t="str">
        <f aca="false">IF('1 Pieces'!A109="","",'1 Pieces'!A109)</f>
        <v/>
      </c>
      <c r="B108" s="10" t="str">
        <f aca="false">IF(A108="","",IFERROR(INDEX('1 Pieces'!H:H,MATCH(A108,'1 Pieces'!A:A,0)),""))</f>
        <v/>
      </c>
      <c r="C108" s="10" t="str">
        <f aca="false">IF(A108="","",SUMPRODUCT(('2 BOM lines'!$A$5:$A$612=A108)*('2 BOM lines'!$C$5:$C$612&lt;&gt;"MAKING")*IFERROR('2 BOM lines'!$F$5:$F$612,0)*IF('2 BOM lines'!$G$5:$G$612="CT",0.2,IF('2 BOM lines'!$G$5:$G$612="RATTI",0.1215,IF('2 BOM lines'!$G$5:$G$612="GM",1,0)))))</f>
        <v/>
      </c>
      <c r="D108" s="10" t="str">
        <f aca="false">IF(A108="","",ROUND(B108-C108,3))</f>
        <v/>
      </c>
      <c r="E108" s="12" t="str">
        <f aca="false">IF(A108="","",IF(ABS(D108)&lt;=0.05,"OK","CHECK THIS PIECE"))</f>
        <v/>
      </c>
    </row>
    <row r="109" customFormat="false" ht="15" hidden="false" customHeight="false" outlineLevel="0" collapsed="false">
      <c r="A109" s="10" t="str">
        <f aca="false">IF('1 Pieces'!A110="","",'1 Pieces'!A110)</f>
        <v/>
      </c>
      <c r="B109" s="10" t="str">
        <f aca="false">IF(A109="","",IFERROR(INDEX('1 Pieces'!H:H,MATCH(A109,'1 Pieces'!A:A,0)),""))</f>
        <v/>
      </c>
      <c r="C109" s="10" t="str">
        <f aca="false">IF(A109="","",SUMPRODUCT(('2 BOM lines'!$A$5:$A$612=A109)*('2 BOM lines'!$C$5:$C$612&lt;&gt;"MAKING")*IFERROR('2 BOM lines'!$F$5:$F$612,0)*IF('2 BOM lines'!$G$5:$G$612="CT",0.2,IF('2 BOM lines'!$G$5:$G$612="RATTI",0.1215,IF('2 BOM lines'!$G$5:$G$612="GM",1,0)))))</f>
        <v/>
      </c>
      <c r="D109" s="10" t="str">
        <f aca="false">IF(A109="","",ROUND(B109-C109,3))</f>
        <v/>
      </c>
      <c r="E109" s="12" t="str">
        <f aca="false">IF(A109="","",IF(ABS(D109)&lt;=0.05,"OK","CHECK THIS PIECE"))</f>
        <v/>
      </c>
    </row>
    <row r="110" customFormat="false" ht="15" hidden="false" customHeight="false" outlineLevel="0" collapsed="false">
      <c r="A110" s="10" t="str">
        <f aca="false">IF('1 Pieces'!A111="","",'1 Pieces'!A111)</f>
        <v/>
      </c>
      <c r="B110" s="10" t="str">
        <f aca="false">IF(A110="","",IFERROR(INDEX('1 Pieces'!H:H,MATCH(A110,'1 Pieces'!A:A,0)),""))</f>
        <v/>
      </c>
      <c r="C110" s="10" t="str">
        <f aca="false">IF(A110="","",SUMPRODUCT(('2 BOM lines'!$A$5:$A$612=A110)*('2 BOM lines'!$C$5:$C$612&lt;&gt;"MAKING")*IFERROR('2 BOM lines'!$F$5:$F$612,0)*IF('2 BOM lines'!$G$5:$G$612="CT",0.2,IF('2 BOM lines'!$G$5:$G$612="RATTI",0.1215,IF('2 BOM lines'!$G$5:$G$612="GM",1,0)))))</f>
        <v/>
      </c>
      <c r="D110" s="10" t="str">
        <f aca="false">IF(A110="","",ROUND(B110-C110,3))</f>
        <v/>
      </c>
      <c r="E110" s="12" t="str">
        <f aca="false">IF(A110="","",IF(ABS(D110)&lt;=0.05,"OK","CHECK THIS PIECE"))</f>
        <v/>
      </c>
    </row>
    <row r="111" customFormat="false" ht="15" hidden="false" customHeight="false" outlineLevel="0" collapsed="false">
      <c r="A111" s="10" t="str">
        <f aca="false">IF('1 Pieces'!A112="","",'1 Pieces'!A112)</f>
        <v/>
      </c>
      <c r="B111" s="10" t="str">
        <f aca="false">IF(A111="","",IFERROR(INDEX('1 Pieces'!H:H,MATCH(A111,'1 Pieces'!A:A,0)),""))</f>
        <v/>
      </c>
      <c r="C111" s="10" t="str">
        <f aca="false">IF(A111="","",SUMPRODUCT(('2 BOM lines'!$A$5:$A$612=A111)*('2 BOM lines'!$C$5:$C$612&lt;&gt;"MAKING")*IFERROR('2 BOM lines'!$F$5:$F$612,0)*IF('2 BOM lines'!$G$5:$G$612="CT",0.2,IF('2 BOM lines'!$G$5:$G$612="RATTI",0.1215,IF('2 BOM lines'!$G$5:$G$612="GM",1,0)))))</f>
        <v/>
      </c>
      <c r="D111" s="10" t="str">
        <f aca="false">IF(A111="","",ROUND(B111-C111,3))</f>
        <v/>
      </c>
      <c r="E111" s="12" t="str">
        <f aca="false">IF(A111="","",IF(ABS(D111)&lt;=0.05,"OK","CHECK THIS PIECE"))</f>
        <v/>
      </c>
    </row>
    <row r="112" customFormat="false" ht="15" hidden="false" customHeight="false" outlineLevel="0" collapsed="false">
      <c r="A112" s="10" t="str">
        <f aca="false">IF('1 Pieces'!A113="","",'1 Pieces'!A113)</f>
        <v/>
      </c>
      <c r="B112" s="10" t="str">
        <f aca="false">IF(A112="","",IFERROR(INDEX('1 Pieces'!H:H,MATCH(A112,'1 Pieces'!A:A,0)),""))</f>
        <v/>
      </c>
      <c r="C112" s="10" t="str">
        <f aca="false">IF(A112="","",SUMPRODUCT(('2 BOM lines'!$A$5:$A$612=A112)*('2 BOM lines'!$C$5:$C$612&lt;&gt;"MAKING")*IFERROR('2 BOM lines'!$F$5:$F$612,0)*IF('2 BOM lines'!$G$5:$G$612="CT",0.2,IF('2 BOM lines'!$G$5:$G$612="RATTI",0.1215,IF('2 BOM lines'!$G$5:$G$612="GM",1,0)))))</f>
        <v/>
      </c>
      <c r="D112" s="10" t="str">
        <f aca="false">IF(A112="","",ROUND(B112-C112,3))</f>
        <v/>
      </c>
      <c r="E112" s="12" t="str">
        <f aca="false">IF(A112="","",IF(ABS(D112)&lt;=0.05,"OK","CHECK THIS PIECE"))</f>
        <v/>
      </c>
    </row>
    <row r="113" customFormat="false" ht="15" hidden="false" customHeight="false" outlineLevel="0" collapsed="false">
      <c r="A113" s="10" t="str">
        <f aca="false">IF('1 Pieces'!A114="","",'1 Pieces'!A114)</f>
        <v/>
      </c>
      <c r="B113" s="10" t="str">
        <f aca="false">IF(A113="","",IFERROR(INDEX('1 Pieces'!H:H,MATCH(A113,'1 Pieces'!A:A,0)),""))</f>
        <v/>
      </c>
      <c r="C113" s="10" t="str">
        <f aca="false">IF(A113="","",SUMPRODUCT(('2 BOM lines'!$A$5:$A$612=A113)*('2 BOM lines'!$C$5:$C$612&lt;&gt;"MAKING")*IFERROR('2 BOM lines'!$F$5:$F$612,0)*IF('2 BOM lines'!$G$5:$G$612="CT",0.2,IF('2 BOM lines'!$G$5:$G$612="RATTI",0.1215,IF('2 BOM lines'!$G$5:$G$612="GM",1,0)))))</f>
        <v/>
      </c>
      <c r="D113" s="10" t="str">
        <f aca="false">IF(A113="","",ROUND(B113-C113,3))</f>
        <v/>
      </c>
      <c r="E113" s="12" t="str">
        <f aca="false">IF(A113="","",IF(ABS(D113)&lt;=0.05,"OK","CHECK THIS PIECE"))</f>
        <v/>
      </c>
    </row>
    <row r="114" customFormat="false" ht="15" hidden="false" customHeight="false" outlineLevel="0" collapsed="false">
      <c r="A114" s="10" t="str">
        <f aca="false">IF('1 Pieces'!A115="","",'1 Pieces'!A115)</f>
        <v/>
      </c>
      <c r="B114" s="10" t="str">
        <f aca="false">IF(A114="","",IFERROR(INDEX('1 Pieces'!H:H,MATCH(A114,'1 Pieces'!A:A,0)),""))</f>
        <v/>
      </c>
      <c r="C114" s="10" t="str">
        <f aca="false">IF(A114="","",SUMPRODUCT(('2 BOM lines'!$A$5:$A$612=A114)*('2 BOM lines'!$C$5:$C$612&lt;&gt;"MAKING")*IFERROR('2 BOM lines'!$F$5:$F$612,0)*IF('2 BOM lines'!$G$5:$G$612="CT",0.2,IF('2 BOM lines'!$G$5:$G$612="RATTI",0.1215,IF('2 BOM lines'!$G$5:$G$612="GM",1,0)))))</f>
        <v/>
      </c>
      <c r="D114" s="10" t="str">
        <f aca="false">IF(A114="","",ROUND(B114-C114,3))</f>
        <v/>
      </c>
      <c r="E114" s="12" t="str">
        <f aca="false">IF(A114="","",IF(ABS(D114)&lt;=0.05,"OK","CHECK THIS PIECE"))</f>
        <v/>
      </c>
    </row>
    <row r="115" customFormat="false" ht="15" hidden="false" customHeight="false" outlineLevel="0" collapsed="false">
      <c r="A115" s="10" t="str">
        <f aca="false">IF('1 Pieces'!A116="","",'1 Pieces'!A116)</f>
        <v/>
      </c>
      <c r="B115" s="10" t="str">
        <f aca="false">IF(A115="","",IFERROR(INDEX('1 Pieces'!H:H,MATCH(A115,'1 Pieces'!A:A,0)),""))</f>
        <v/>
      </c>
      <c r="C115" s="10" t="str">
        <f aca="false">IF(A115="","",SUMPRODUCT(('2 BOM lines'!$A$5:$A$612=A115)*('2 BOM lines'!$C$5:$C$612&lt;&gt;"MAKING")*IFERROR('2 BOM lines'!$F$5:$F$612,0)*IF('2 BOM lines'!$G$5:$G$612="CT",0.2,IF('2 BOM lines'!$G$5:$G$612="RATTI",0.1215,IF('2 BOM lines'!$G$5:$G$612="GM",1,0)))))</f>
        <v/>
      </c>
      <c r="D115" s="10" t="str">
        <f aca="false">IF(A115="","",ROUND(B115-C115,3))</f>
        <v/>
      </c>
      <c r="E115" s="12" t="str">
        <f aca="false">IF(A115="","",IF(ABS(D115)&lt;=0.05,"OK","CHECK THIS PIECE"))</f>
        <v/>
      </c>
    </row>
    <row r="116" customFormat="false" ht="15" hidden="false" customHeight="false" outlineLevel="0" collapsed="false">
      <c r="A116" s="10" t="str">
        <f aca="false">IF('1 Pieces'!A117="","",'1 Pieces'!A117)</f>
        <v/>
      </c>
      <c r="B116" s="10" t="str">
        <f aca="false">IF(A116="","",IFERROR(INDEX('1 Pieces'!H:H,MATCH(A116,'1 Pieces'!A:A,0)),""))</f>
        <v/>
      </c>
      <c r="C116" s="10" t="str">
        <f aca="false">IF(A116="","",SUMPRODUCT(('2 BOM lines'!$A$5:$A$612=A116)*('2 BOM lines'!$C$5:$C$612&lt;&gt;"MAKING")*IFERROR('2 BOM lines'!$F$5:$F$612,0)*IF('2 BOM lines'!$G$5:$G$612="CT",0.2,IF('2 BOM lines'!$G$5:$G$612="RATTI",0.1215,IF('2 BOM lines'!$G$5:$G$612="GM",1,0)))))</f>
        <v/>
      </c>
      <c r="D116" s="10" t="str">
        <f aca="false">IF(A116="","",ROUND(B116-C116,3))</f>
        <v/>
      </c>
      <c r="E116" s="12" t="str">
        <f aca="false">IF(A116="","",IF(ABS(D116)&lt;=0.05,"OK","CHECK THIS PIECE"))</f>
        <v/>
      </c>
    </row>
    <row r="117" customFormat="false" ht="15" hidden="false" customHeight="false" outlineLevel="0" collapsed="false">
      <c r="A117" s="10" t="str">
        <f aca="false">IF('1 Pieces'!A118="","",'1 Pieces'!A118)</f>
        <v/>
      </c>
      <c r="B117" s="10" t="str">
        <f aca="false">IF(A117="","",IFERROR(INDEX('1 Pieces'!H:H,MATCH(A117,'1 Pieces'!A:A,0)),""))</f>
        <v/>
      </c>
      <c r="C117" s="10" t="str">
        <f aca="false">IF(A117="","",SUMPRODUCT(('2 BOM lines'!$A$5:$A$612=A117)*('2 BOM lines'!$C$5:$C$612&lt;&gt;"MAKING")*IFERROR('2 BOM lines'!$F$5:$F$612,0)*IF('2 BOM lines'!$G$5:$G$612="CT",0.2,IF('2 BOM lines'!$G$5:$G$612="RATTI",0.1215,IF('2 BOM lines'!$G$5:$G$612="GM",1,0)))))</f>
        <v/>
      </c>
      <c r="D117" s="10" t="str">
        <f aca="false">IF(A117="","",ROUND(B117-C117,3))</f>
        <v/>
      </c>
      <c r="E117" s="12" t="str">
        <f aca="false">IF(A117="","",IF(ABS(D117)&lt;=0.05,"OK","CHECK THIS PIECE"))</f>
        <v/>
      </c>
    </row>
    <row r="118" customFormat="false" ht="15" hidden="false" customHeight="false" outlineLevel="0" collapsed="false">
      <c r="A118" s="10" t="str">
        <f aca="false">IF('1 Pieces'!A119="","",'1 Pieces'!A119)</f>
        <v/>
      </c>
      <c r="B118" s="10" t="str">
        <f aca="false">IF(A118="","",IFERROR(INDEX('1 Pieces'!H:H,MATCH(A118,'1 Pieces'!A:A,0)),""))</f>
        <v/>
      </c>
      <c r="C118" s="10" t="str">
        <f aca="false">IF(A118="","",SUMPRODUCT(('2 BOM lines'!$A$5:$A$612=A118)*('2 BOM lines'!$C$5:$C$612&lt;&gt;"MAKING")*IFERROR('2 BOM lines'!$F$5:$F$612,0)*IF('2 BOM lines'!$G$5:$G$612="CT",0.2,IF('2 BOM lines'!$G$5:$G$612="RATTI",0.1215,IF('2 BOM lines'!$G$5:$G$612="GM",1,0)))))</f>
        <v/>
      </c>
      <c r="D118" s="10" t="str">
        <f aca="false">IF(A118="","",ROUND(B118-C118,3))</f>
        <v/>
      </c>
      <c r="E118" s="12" t="str">
        <f aca="false">IF(A118="","",IF(ABS(D118)&lt;=0.05,"OK","CHECK THIS PIECE"))</f>
        <v/>
      </c>
    </row>
    <row r="119" customFormat="false" ht="15" hidden="false" customHeight="false" outlineLevel="0" collapsed="false">
      <c r="A119" s="10" t="str">
        <f aca="false">IF('1 Pieces'!A120="","",'1 Pieces'!A120)</f>
        <v/>
      </c>
      <c r="B119" s="10" t="str">
        <f aca="false">IF(A119="","",IFERROR(INDEX('1 Pieces'!H:H,MATCH(A119,'1 Pieces'!A:A,0)),""))</f>
        <v/>
      </c>
      <c r="C119" s="10" t="str">
        <f aca="false">IF(A119="","",SUMPRODUCT(('2 BOM lines'!$A$5:$A$612=A119)*('2 BOM lines'!$C$5:$C$612&lt;&gt;"MAKING")*IFERROR('2 BOM lines'!$F$5:$F$612,0)*IF('2 BOM lines'!$G$5:$G$612="CT",0.2,IF('2 BOM lines'!$G$5:$G$612="RATTI",0.1215,IF('2 BOM lines'!$G$5:$G$612="GM",1,0)))))</f>
        <v/>
      </c>
      <c r="D119" s="10" t="str">
        <f aca="false">IF(A119="","",ROUND(B119-C119,3))</f>
        <v/>
      </c>
      <c r="E119" s="12" t="str">
        <f aca="false">IF(A119="","",IF(ABS(D119)&lt;=0.05,"OK","CHECK THIS PIECE"))</f>
        <v/>
      </c>
    </row>
    <row r="120" customFormat="false" ht="15" hidden="false" customHeight="false" outlineLevel="0" collapsed="false">
      <c r="A120" s="10" t="str">
        <f aca="false">IF('1 Pieces'!A121="","",'1 Pieces'!A121)</f>
        <v/>
      </c>
      <c r="B120" s="10" t="str">
        <f aca="false">IF(A120="","",IFERROR(INDEX('1 Pieces'!H:H,MATCH(A120,'1 Pieces'!A:A,0)),""))</f>
        <v/>
      </c>
      <c r="C120" s="10" t="str">
        <f aca="false">IF(A120="","",SUMPRODUCT(('2 BOM lines'!$A$5:$A$612=A120)*('2 BOM lines'!$C$5:$C$612&lt;&gt;"MAKING")*IFERROR('2 BOM lines'!$F$5:$F$612,0)*IF('2 BOM lines'!$G$5:$G$612="CT",0.2,IF('2 BOM lines'!$G$5:$G$612="RATTI",0.1215,IF('2 BOM lines'!$G$5:$G$612="GM",1,0)))))</f>
        <v/>
      </c>
      <c r="D120" s="10" t="str">
        <f aca="false">IF(A120="","",ROUND(B120-C120,3))</f>
        <v/>
      </c>
      <c r="E120" s="12" t="str">
        <f aca="false">IF(A120="","",IF(ABS(D120)&lt;=0.05,"OK","CHECK THIS PIECE"))</f>
        <v/>
      </c>
    </row>
    <row r="121" customFormat="false" ht="15" hidden="false" customHeight="false" outlineLevel="0" collapsed="false">
      <c r="A121" s="10" t="str">
        <f aca="false">IF('1 Pieces'!A122="","",'1 Pieces'!A122)</f>
        <v/>
      </c>
      <c r="B121" s="10" t="str">
        <f aca="false">IF(A121="","",IFERROR(INDEX('1 Pieces'!H:H,MATCH(A121,'1 Pieces'!A:A,0)),""))</f>
        <v/>
      </c>
      <c r="C121" s="10" t="str">
        <f aca="false">IF(A121="","",SUMPRODUCT(('2 BOM lines'!$A$5:$A$612=A121)*('2 BOM lines'!$C$5:$C$612&lt;&gt;"MAKING")*IFERROR('2 BOM lines'!$F$5:$F$612,0)*IF('2 BOM lines'!$G$5:$G$612="CT",0.2,IF('2 BOM lines'!$G$5:$G$612="RATTI",0.1215,IF('2 BOM lines'!$G$5:$G$612="GM",1,0)))))</f>
        <v/>
      </c>
      <c r="D121" s="10" t="str">
        <f aca="false">IF(A121="","",ROUND(B121-C121,3))</f>
        <v/>
      </c>
      <c r="E121" s="12" t="str">
        <f aca="false">IF(A121="","",IF(ABS(D121)&lt;=0.05,"OK","CHECK THIS PIECE"))</f>
        <v/>
      </c>
    </row>
    <row r="122" customFormat="false" ht="15" hidden="false" customHeight="false" outlineLevel="0" collapsed="false">
      <c r="A122" s="10" t="str">
        <f aca="false">IF('1 Pieces'!A123="","",'1 Pieces'!A123)</f>
        <v/>
      </c>
      <c r="B122" s="10" t="str">
        <f aca="false">IF(A122="","",IFERROR(INDEX('1 Pieces'!H:H,MATCH(A122,'1 Pieces'!A:A,0)),""))</f>
        <v/>
      </c>
      <c r="C122" s="10" t="str">
        <f aca="false">IF(A122="","",SUMPRODUCT(('2 BOM lines'!$A$5:$A$612=A122)*('2 BOM lines'!$C$5:$C$612&lt;&gt;"MAKING")*IFERROR('2 BOM lines'!$F$5:$F$612,0)*IF('2 BOM lines'!$G$5:$G$612="CT",0.2,IF('2 BOM lines'!$G$5:$G$612="RATTI",0.1215,IF('2 BOM lines'!$G$5:$G$612="GM",1,0)))))</f>
        <v/>
      </c>
      <c r="D122" s="10" t="str">
        <f aca="false">IF(A122="","",ROUND(B122-C122,3))</f>
        <v/>
      </c>
      <c r="E122" s="12" t="str">
        <f aca="false">IF(A122="","",IF(ABS(D122)&lt;=0.05,"OK","CHECK THIS PIECE"))</f>
        <v/>
      </c>
    </row>
    <row r="123" customFormat="false" ht="15" hidden="false" customHeight="false" outlineLevel="0" collapsed="false">
      <c r="A123" s="10" t="str">
        <f aca="false">IF('1 Pieces'!A124="","",'1 Pieces'!A124)</f>
        <v/>
      </c>
      <c r="B123" s="10" t="str">
        <f aca="false">IF(A123="","",IFERROR(INDEX('1 Pieces'!H:H,MATCH(A123,'1 Pieces'!A:A,0)),""))</f>
        <v/>
      </c>
      <c r="C123" s="10" t="str">
        <f aca="false">IF(A123="","",SUMPRODUCT(('2 BOM lines'!$A$5:$A$612=A123)*('2 BOM lines'!$C$5:$C$612&lt;&gt;"MAKING")*IFERROR('2 BOM lines'!$F$5:$F$612,0)*IF('2 BOM lines'!$G$5:$G$612="CT",0.2,IF('2 BOM lines'!$G$5:$G$612="RATTI",0.1215,IF('2 BOM lines'!$G$5:$G$612="GM",1,0)))))</f>
        <v/>
      </c>
      <c r="D123" s="10" t="str">
        <f aca="false">IF(A123="","",ROUND(B123-C123,3))</f>
        <v/>
      </c>
      <c r="E123" s="12" t="str">
        <f aca="false">IF(A123="","",IF(ABS(D123)&lt;=0.05,"OK","CHECK THIS PIECE"))</f>
        <v/>
      </c>
    </row>
    <row r="124" customFormat="false" ht="15" hidden="false" customHeight="false" outlineLevel="0" collapsed="false">
      <c r="A124" s="10" t="str">
        <f aca="false">IF('1 Pieces'!A125="","",'1 Pieces'!A125)</f>
        <v/>
      </c>
      <c r="B124" s="10" t="str">
        <f aca="false">IF(A124="","",IFERROR(INDEX('1 Pieces'!H:H,MATCH(A124,'1 Pieces'!A:A,0)),""))</f>
        <v/>
      </c>
      <c r="C124" s="10" t="str">
        <f aca="false">IF(A124="","",SUMPRODUCT(('2 BOM lines'!$A$5:$A$612=A124)*('2 BOM lines'!$C$5:$C$612&lt;&gt;"MAKING")*IFERROR('2 BOM lines'!$F$5:$F$612,0)*IF('2 BOM lines'!$G$5:$G$612="CT",0.2,IF('2 BOM lines'!$G$5:$G$612="RATTI",0.1215,IF('2 BOM lines'!$G$5:$G$612="GM",1,0)))))</f>
        <v/>
      </c>
      <c r="D124" s="10" t="str">
        <f aca="false">IF(A124="","",ROUND(B124-C124,3))</f>
        <v/>
      </c>
      <c r="E124" s="12" t="str">
        <f aca="false">IF(A124="","",IF(ABS(D124)&lt;=0.05,"OK","CHECK THIS PIECE"))</f>
        <v/>
      </c>
    </row>
    <row r="125" customFormat="false" ht="15" hidden="false" customHeight="false" outlineLevel="0" collapsed="false">
      <c r="A125" s="10" t="str">
        <f aca="false">IF('1 Pieces'!A126="","",'1 Pieces'!A126)</f>
        <v/>
      </c>
      <c r="B125" s="10" t="str">
        <f aca="false">IF(A125="","",IFERROR(INDEX('1 Pieces'!H:H,MATCH(A125,'1 Pieces'!A:A,0)),""))</f>
        <v/>
      </c>
      <c r="C125" s="10" t="str">
        <f aca="false">IF(A125="","",SUMPRODUCT(('2 BOM lines'!$A$5:$A$612=A125)*('2 BOM lines'!$C$5:$C$612&lt;&gt;"MAKING")*IFERROR('2 BOM lines'!$F$5:$F$612,0)*IF('2 BOM lines'!$G$5:$G$612="CT",0.2,IF('2 BOM lines'!$G$5:$G$612="RATTI",0.1215,IF('2 BOM lines'!$G$5:$G$612="GM",1,0)))))</f>
        <v/>
      </c>
      <c r="D125" s="10" t="str">
        <f aca="false">IF(A125="","",ROUND(B125-C125,3))</f>
        <v/>
      </c>
      <c r="E125" s="12" t="str">
        <f aca="false">IF(A125="","",IF(ABS(D125)&lt;=0.05,"OK","CHECK THIS PIECE"))</f>
        <v/>
      </c>
    </row>
    <row r="126" customFormat="false" ht="15" hidden="false" customHeight="false" outlineLevel="0" collapsed="false">
      <c r="A126" s="10" t="str">
        <f aca="false">IF('1 Pieces'!A127="","",'1 Pieces'!A127)</f>
        <v/>
      </c>
      <c r="B126" s="10" t="str">
        <f aca="false">IF(A126="","",IFERROR(INDEX('1 Pieces'!H:H,MATCH(A126,'1 Pieces'!A:A,0)),""))</f>
        <v/>
      </c>
      <c r="C126" s="10" t="str">
        <f aca="false">IF(A126="","",SUMPRODUCT(('2 BOM lines'!$A$5:$A$612=A126)*('2 BOM lines'!$C$5:$C$612&lt;&gt;"MAKING")*IFERROR('2 BOM lines'!$F$5:$F$612,0)*IF('2 BOM lines'!$G$5:$G$612="CT",0.2,IF('2 BOM lines'!$G$5:$G$612="RATTI",0.1215,IF('2 BOM lines'!$G$5:$G$612="GM",1,0)))))</f>
        <v/>
      </c>
      <c r="D126" s="10" t="str">
        <f aca="false">IF(A126="","",ROUND(B126-C126,3))</f>
        <v/>
      </c>
      <c r="E126" s="12" t="str">
        <f aca="false">IF(A126="","",IF(ABS(D126)&lt;=0.05,"OK","CHECK THIS PIECE"))</f>
        <v/>
      </c>
    </row>
    <row r="127" customFormat="false" ht="15" hidden="false" customHeight="false" outlineLevel="0" collapsed="false">
      <c r="A127" s="10" t="str">
        <f aca="false">IF('1 Pieces'!A128="","",'1 Pieces'!A128)</f>
        <v/>
      </c>
      <c r="B127" s="10" t="str">
        <f aca="false">IF(A127="","",IFERROR(INDEX('1 Pieces'!H:H,MATCH(A127,'1 Pieces'!A:A,0)),""))</f>
        <v/>
      </c>
      <c r="C127" s="10" t="str">
        <f aca="false">IF(A127="","",SUMPRODUCT(('2 BOM lines'!$A$5:$A$612=A127)*('2 BOM lines'!$C$5:$C$612&lt;&gt;"MAKING")*IFERROR('2 BOM lines'!$F$5:$F$612,0)*IF('2 BOM lines'!$G$5:$G$612="CT",0.2,IF('2 BOM lines'!$G$5:$G$612="RATTI",0.1215,IF('2 BOM lines'!$G$5:$G$612="GM",1,0)))))</f>
        <v/>
      </c>
      <c r="D127" s="10" t="str">
        <f aca="false">IF(A127="","",ROUND(B127-C127,3))</f>
        <v/>
      </c>
      <c r="E127" s="12" t="str">
        <f aca="false">IF(A127="","",IF(ABS(D127)&lt;=0.05,"OK","CHECK THIS PIECE"))</f>
        <v/>
      </c>
    </row>
    <row r="128" customFormat="false" ht="15" hidden="false" customHeight="false" outlineLevel="0" collapsed="false">
      <c r="A128" s="10" t="str">
        <f aca="false">IF('1 Pieces'!A129="","",'1 Pieces'!A129)</f>
        <v/>
      </c>
      <c r="B128" s="10" t="str">
        <f aca="false">IF(A128="","",IFERROR(INDEX('1 Pieces'!H:H,MATCH(A128,'1 Pieces'!A:A,0)),""))</f>
        <v/>
      </c>
      <c r="C128" s="10" t="str">
        <f aca="false">IF(A128="","",SUMPRODUCT(('2 BOM lines'!$A$5:$A$612=A128)*('2 BOM lines'!$C$5:$C$612&lt;&gt;"MAKING")*IFERROR('2 BOM lines'!$F$5:$F$612,0)*IF('2 BOM lines'!$G$5:$G$612="CT",0.2,IF('2 BOM lines'!$G$5:$G$612="RATTI",0.1215,IF('2 BOM lines'!$G$5:$G$612="GM",1,0)))))</f>
        <v/>
      </c>
      <c r="D128" s="10" t="str">
        <f aca="false">IF(A128="","",ROUND(B128-C128,3))</f>
        <v/>
      </c>
      <c r="E128" s="12" t="str">
        <f aca="false">IF(A128="","",IF(ABS(D128)&lt;=0.05,"OK","CHECK THIS PIECE"))</f>
        <v/>
      </c>
    </row>
    <row r="129" customFormat="false" ht="15" hidden="false" customHeight="false" outlineLevel="0" collapsed="false">
      <c r="A129" s="10" t="str">
        <f aca="false">IF('1 Pieces'!A130="","",'1 Pieces'!A130)</f>
        <v/>
      </c>
      <c r="B129" s="10" t="str">
        <f aca="false">IF(A129="","",IFERROR(INDEX('1 Pieces'!H:H,MATCH(A129,'1 Pieces'!A:A,0)),""))</f>
        <v/>
      </c>
      <c r="C129" s="10" t="str">
        <f aca="false">IF(A129="","",SUMPRODUCT(('2 BOM lines'!$A$5:$A$612=A129)*('2 BOM lines'!$C$5:$C$612&lt;&gt;"MAKING")*IFERROR('2 BOM lines'!$F$5:$F$612,0)*IF('2 BOM lines'!$G$5:$G$612="CT",0.2,IF('2 BOM lines'!$G$5:$G$612="RATTI",0.1215,IF('2 BOM lines'!$G$5:$G$612="GM",1,0)))))</f>
        <v/>
      </c>
      <c r="D129" s="10" t="str">
        <f aca="false">IF(A129="","",ROUND(B129-C129,3))</f>
        <v/>
      </c>
      <c r="E129" s="12" t="str">
        <f aca="false">IF(A129="","",IF(ABS(D129)&lt;=0.05,"OK","CHECK THIS PIECE"))</f>
        <v/>
      </c>
    </row>
    <row r="130" customFormat="false" ht="15" hidden="false" customHeight="false" outlineLevel="0" collapsed="false">
      <c r="A130" s="10" t="str">
        <f aca="false">IF('1 Pieces'!A131="","",'1 Pieces'!A131)</f>
        <v/>
      </c>
      <c r="B130" s="10" t="str">
        <f aca="false">IF(A130="","",IFERROR(INDEX('1 Pieces'!H:H,MATCH(A130,'1 Pieces'!A:A,0)),""))</f>
        <v/>
      </c>
      <c r="C130" s="10" t="str">
        <f aca="false">IF(A130="","",SUMPRODUCT(('2 BOM lines'!$A$5:$A$612=A130)*('2 BOM lines'!$C$5:$C$612&lt;&gt;"MAKING")*IFERROR('2 BOM lines'!$F$5:$F$612,0)*IF('2 BOM lines'!$G$5:$G$612="CT",0.2,IF('2 BOM lines'!$G$5:$G$612="RATTI",0.1215,IF('2 BOM lines'!$G$5:$G$612="GM",1,0)))))</f>
        <v/>
      </c>
      <c r="D130" s="10" t="str">
        <f aca="false">IF(A130="","",ROUND(B130-C130,3))</f>
        <v/>
      </c>
      <c r="E130" s="12" t="str">
        <f aca="false">IF(A130="","",IF(ABS(D130)&lt;=0.05,"OK","CHECK THIS PIECE"))</f>
        <v/>
      </c>
    </row>
    <row r="131" customFormat="false" ht="15" hidden="false" customHeight="false" outlineLevel="0" collapsed="false">
      <c r="A131" s="10" t="str">
        <f aca="false">IF('1 Pieces'!A132="","",'1 Pieces'!A132)</f>
        <v/>
      </c>
      <c r="B131" s="10" t="str">
        <f aca="false">IF(A131="","",IFERROR(INDEX('1 Pieces'!H:H,MATCH(A131,'1 Pieces'!A:A,0)),""))</f>
        <v/>
      </c>
      <c r="C131" s="10" t="str">
        <f aca="false">IF(A131="","",SUMPRODUCT(('2 BOM lines'!$A$5:$A$612=A131)*('2 BOM lines'!$C$5:$C$612&lt;&gt;"MAKING")*IFERROR('2 BOM lines'!$F$5:$F$612,0)*IF('2 BOM lines'!$G$5:$G$612="CT",0.2,IF('2 BOM lines'!$G$5:$G$612="RATTI",0.1215,IF('2 BOM lines'!$G$5:$G$612="GM",1,0)))))</f>
        <v/>
      </c>
      <c r="D131" s="10" t="str">
        <f aca="false">IF(A131="","",ROUND(B131-C131,3))</f>
        <v/>
      </c>
      <c r="E131" s="12" t="str">
        <f aca="false">IF(A131="","",IF(ABS(D131)&lt;=0.05,"OK","CHECK THIS PIECE"))</f>
        <v/>
      </c>
    </row>
    <row r="132" customFormat="false" ht="15" hidden="false" customHeight="false" outlineLevel="0" collapsed="false">
      <c r="A132" s="10" t="str">
        <f aca="false">IF('1 Pieces'!A133="","",'1 Pieces'!A133)</f>
        <v/>
      </c>
      <c r="B132" s="10" t="str">
        <f aca="false">IF(A132="","",IFERROR(INDEX('1 Pieces'!H:H,MATCH(A132,'1 Pieces'!A:A,0)),""))</f>
        <v/>
      </c>
      <c r="C132" s="10" t="str">
        <f aca="false">IF(A132="","",SUMPRODUCT(('2 BOM lines'!$A$5:$A$612=A132)*('2 BOM lines'!$C$5:$C$612&lt;&gt;"MAKING")*IFERROR('2 BOM lines'!$F$5:$F$612,0)*IF('2 BOM lines'!$G$5:$G$612="CT",0.2,IF('2 BOM lines'!$G$5:$G$612="RATTI",0.1215,IF('2 BOM lines'!$G$5:$G$612="GM",1,0)))))</f>
        <v/>
      </c>
      <c r="D132" s="10" t="str">
        <f aca="false">IF(A132="","",ROUND(B132-C132,3))</f>
        <v/>
      </c>
      <c r="E132" s="12" t="str">
        <f aca="false">IF(A132="","",IF(ABS(D132)&lt;=0.05,"OK","CHECK THIS PIECE"))</f>
        <v/>
      </c>
    </row>
    <row r="133" customFormat="false" ht="15" hidden="false" customHeight="false" outlineLevel="0" collapsed="false">
      <c r="A133" s="10" t="str">
        <f aca="false">IF('1 Pieces'!A134="","",'1 Pieces'!A134)</f>
        <v/>
      </c>
      <c r="B133" s="10" t="str">
        <f aca="false">IF(A133="","",IFERROR(INDEX('1 Pieces'!H:H,MATCH(A133,'1 Pieces'!A:A,0)),""))</f>
        <v/>
      </c>
      <c r="C133" s="10" t="str">
        <f aca="false">IF(A133="","",SUMPRODUCT(('2 BOM lines'!$A$5:$A$612=A133)*('2 BOM lines'!$C$5:$C$612&lt;&gt;"MAKING")*IFERROR('2 BOM lines'!$F$5:$F$612,0)*IF('2 BOM lines'!$G$5:$G$612="CT",0.2,IF('2 BOM lines'!$G$5:$G$612="RATTI",0.1215,IF('2 BOM lines'!$G$5:$G$612="GM",1,0)))))</f>
        <v/>
      </c>
      <c r="D133" s="10" t="str">
        <f aca="false">IF(A133="","",ROUND(B133-C133,3))</f>
        <v/>
      </c>
      <c r="E133" s="12" t="str">
        <f aca="false">IF(A133="","",IF(ABS(D133)&lt;=0.05,"OK","CHECK THIS PIECE"))</f>
        <v/>
      </c>
    </row>
    <row r="134" customFormat="false" ht="15" hidden="false" customHeight="false" outlineLevel="0" collapsed="false">
      <c r="A134" s="10" t="str">
        <f aca="false">IF('1 Pieces'!A135="","",'1 Pieces'!A135)</f>
        <v/>
      </c>
      <c r="B134" s="10" t="str">
        <f aca="false">IF(A134="","",IFERROR(INDEX('1 Pieces'!H:H,MATCH(A134,'1 Pieces'!A:A,0)),""))</f>
        <v/>
      </c>
      <c r="C134" s="10" t="str">
        <f aca="false">IF(A134="","",SUMPRODUCT(('2 BOM lines'!$A$5:$A$612=A134)*('2 BOM lines'!$C$5:$C$612&lt;&gt;"MAKING")*IFERROR('2 BOM lines'!$F$5:$F$612,0)*IF('2 BOM lines'!$G$5:$G$612="CT",0.2,IF('2 BOM lines'!$G$5:$G$612="RATTI",0.1215,IF('2 BOM lines'!$G$5:$G$612="GM",1,0)))))</f>
        <v/>
      </c>
      <c r="D134" s="10" t="str">
        <f aca="false">IF(A134="","",ROUND(B134-C134,3))</f>
        <v/>
      </c>
      <c r="E134" s="12" t="str">
        <f aca="false">IF(A134="","",IF(ABS(D134)&lt;=0.05,"OK","CHECK THIS PIECE"))</f>
        <v/>
      </c>
    </row>
    <row r="135" customFormat="false" ht="15" hidden="false" customHeight="false" outlineLevel="0" collapsed="false">
      <c r="A135" s="10" t="str">
        <f aca="false">IF('1 Pieces'!A136="","",'1 Pieces'!A136)</f>
        <v/>
      </c>
      <c r="B135" s="10" t="str">
        <f aca="false">IF(A135="","",IFERROR(INDEX('1 Pieces'!H:H,MATCH(A135,'1 Pieces'!A:A,0)),""))</f>
        <v/>
      </c>
      <c r="C135" s="10" t="str">
        <f aca="false">IF(A135="","",SUMPRODUCT(('2 BOM lines'!$A$5:$A$612=A135)*('2 BOM lines'!$C$5:$C$612&lt;&gt;"MAKING")*IFERROR('2 BOM lines'!$F$5:$F$612,0)*IF('2 BOM lines'!$G$5:$G$612="CT",0.2,IF('2 BOM lines'!$G$5:$G$612="RATTI",0.1215,IF('2 BOM lines'!$G$5:$G$612="GM",1,0)))))</f>
        <v/>
      </c>
      <c r="D135" s="10" t="str">
        <f aca="false">IF(A135="","",ROUND(B135-C135,3))</f>
        <v/>
      </c>
      <c r="E135" s="12" t="str">
        <f aca="false">IF(A135="","",IF(ABS(D135)&lt;=0.05,"OK","CHECK THIS PIECE"))</f>
        <v/>
      </c>
    </row>
    <row r="136" customFormat="false" ht="15" hidden="false" customHeight="false" outlineLevel="0" collapsed="false">
      <c r="A136" s="10" t="str">
        <f aca="false">IF('1 Pieces'!A137="","",'1 Pieces'!A137)</f>
        <v/>
      </c>
      <c r="B136" s="10" t="str">
        <f aca="false">IF(A136="","",IFERROR(INDEX('1 Pieces'!H:H,MATCH(A136,'1 Pieces'!A:A,0)),""))</f>
        <v/>
      </c>
      <c r="C136" s="10" t="str">
        <f aca="false">IF(A136="","",SUMPRODUCT(('2 BOM lines'!$A$5:$A$612=A136)*('2 BOM lines'!$C$5:$C$612&lt;&gt;"MAKING")*IFERROR('2 BOM lines'!$F$5:$F$612,0)*IF('2 BOM lines'!$G$5:$G$612="CT",0.2,IF('2 BOM lines'!$G$5:$G$612="RATTI",0.1215,IF('2 BOM lines'!$G$5:$G$612="GM",1,0)))))</f>
        <v/>
      </c>
      <c r="D136" s="10" t="str">
        <f aca="false">IF(A136="","",ROUND(B136-C136,3))</f>
        <v/>
      </c>
      <c r="E136" s="12" t="str">
        <f aca="false">IF(A136="","",IF(ABS(D136)&lt;=0.05,"OK","CHECK THIS PIECE"))</f>
        <v/>
      </c>
    </row>
    <row r="137" customFormat="false" ht="15" hidden="false" customHeight="false" outlineLevel="0" collapsed="false">
      <c r="A137" s="10" t="str">
        <f aca="false">IF('1 Pieces'!A138="","",'1 Pieces'!A138)</f>
        <v/>
      </c>
      <c r="B137" s="10" t="str">
        <f aca="false">IF(A137="","",IFERROR(INDEX('1 Pieces'!H:H,MATCH(A137,'1 Pieces'!A:A,0)),""))</f>
        <v/>
      </c>
      <c r="C137" s="10" t="str">
        <f aca="false">IF(A137="","",SUMPRODUCT(('2 BOM lines'!$A$5:$A$612=A137)*('2 BOM lines'!$C$5:$C$612&lt;&gt;"MAKING")*IFERROR('2 BOM lines'!$F$5:$F$612,0)*IF('2 BOM lines'!$G$5:$G$612="CT",0.2,IF('2 BOM lines'!$G$5:$G$612="RATTI",0.1215,IF('2 BOM lines'!$G$5:$G$612="GM",1,0)))))</f>
        <v/>
      </c>
      <c r="D137" s="10" t="str">
        <f aca="false">IF(A137="","",ROUND(B137-C137,3))</f>
        <v/>
      </c>
      <c r="E137" s="12" t="str">
        <f aca="false">IF(A137="","",IF(ABS(D137)&lt;=0.05,"OK","CHECK THIS PIECE"))</f>
        <v/>
      </c>
    </row>
    <row r="138" customFormat="false" ht="15" hidden="false" customHeight="false" outlineLevel="0" collapsed="false">
      <c r="A138" s="10" t="str">
        <f aca="false">IF('1 Pieces'!A139="","",'1 Pieces'!A139)</f>
        <v/>
      </c>
      <c r="B138" s="10" t="str">
        <f aca="false">IF(A138="","",IFERROR(INDEX('1 Pieces'!H:H,MATCH(A138,'1 Pieces'!A:A,0)),""))</f>
        <v/>
      </c>
      <c r="C138" s="10" t="str">
        <f aca="false">IF(A138="","",SUMPRODUCT(('2 BOM lines'!$A$5:$A$612=A138)*('2 BOM lines'!$C$5:$C$612&lt;&gt;"MAKING")*IFERROR('2 BOM lines'!$F$5:$F$612,0)*IF('2 BOM lines'!$G$5:$G$612="CT",0.2,IF('2 BOM lines'!$G$5:$G$612="RATTI",0.1215,IF('2 BOM lines'!$G$5:$G$612="GM",1,0)))))</f>
        <v/>
      </c>
      <c r="D138" s="10" t="str">
        <f aca="false">IF(A138="","",ROUND(B138-C138,3))</f>
        <v/>
      </c>
      <c r="E138" s="12" t="str">
        <f aca="false">IF(A138="","",IF(ABS(D138)&lt;=0.05,"OK","CHECK THIS PIECE"))</f>
        <v/>
      </c>
    </row>
    <row r="139" customFormat="false" ht="15" hidden="false" customHeight="false" outlineLevel="0" collapsed="false">
      <c r="A139" s="10" t="str">
        <f aca="false">IF('1 Pieces'!A140="","",'1 Pieces'!A140)</f>
        <v/>
      </c>
      <c r="B139" s="10" t="str">
        <f aca="false">IF(A139="","",IFERROR(INDEX('1 Pieces'!H:H,MATCH(A139,'1 Pieces'!A:A,0)),""))</f>
        <v/>
      </c>
      <c r="C139" s="10" t="str">
        <f aca="false">IF(A139="","",SUMPRODUCT(('2 BOM lines'!$A$5:$A$612=A139)*('2 BOM lines'!$C$5:$C$612&lt;&gt;"MAKING")*IFERROR('2 BOM lines'!$F$5:$F$612,0)*IF('2 BOM lines'!$G$5:$G$612="CT",0.2,IF('2 BOM lines'!$G$5:$G$612="RATTI",0.1215,IF('2 BOM lines'!$G$5:$G$612="GM",1,0)))))</f>
        <v/>
      </c>
      <c r="D139" s="10" t="str">
        <f aca="false">IF(A139="","",ROUND(B139-C139,3))</f>
        <v/>
      </c>
      <c r="E139" s="12" t="str">
        <f aca="false">IF(A139="","",IF(ABS(D139)&lt;=0.05,"OK","CHECK THIS PIECE"))</f>
        <v/>
      </c>
    </row>
    <row r="140" customFormat="false" ht="15" hidden="false" customHeight="false" outlineLevel="0" collapsed="false">
      <c r="A140" s="10" t="str">
        <f aca="false">IF('1 Pieces'!A141="","",'1 Pieces'!A141)</f>
        <v/>
      </c>
      <c r="B140" s="10" t="str">
        <f aca="false">IF(A140="","",IFERROR(INDEX('1 Pieces'!H:H,MATCH(A140,'1 Pieces'!A:A,0)),""))</f>
        <v/>
      </c>
      <c r="C140" s="10" t="str">
        <f aca="false">IF(A140="","",SUMPRODUCT(('2 BOM lines'!$A$5:$A$612=A140)*('2 BOM lines'!$C$5:$C$612&lt;&gt;"MAKING")*IFERROR('2 BOM lines'!$F$5:$F$612,0)*IF('2 BOM lines'!$G$5:$G$612="CT",0.2,IF('2 BOM lines'!$G$5:$G$612="RATTI",0.1215,IF('2 BOM lines'!$G$5:$G$612="GM",1,0)))))</f>
        <v/>
      </c>
      <c r="D140" s="10" t="str">
        <f aca="false">IF(A140="","",ROUND(B140-C140,3))</f>
        <v/>
      </c>
      <c r="E140" s="12" t="str">
        <f aca="false">IF(A140="","",IF(ABS(D140)&lt;=0.05,"OK","CHECK THIS PIECE"))</f>
        <v/>
      </c>
    </row>
    <row r="141" customFormat="false" ht="15" hidden="false" customHeight="false" outlineLevel="0" collapsed="false">
      <c r="A141" s="10" t="str">
        <f aca="false">IF('1 Pieces'!A142="","",'1 Pieces'!A142)</f>
        <v/>
      </c>
      <c r="B141" s="10" t="str">
        <f aca="false">IF(A141="","",IFERROR(INDEX('1 Pieces'!H:H,MATCH(A141,'1 Pieces'!A:A,0)),""))</f>
        <v/>
      </c>
      <c r="C141" s="10" t="str">
        <f aca="false">IF(A141="","",SUMPRODUCT(('2 BOM lines'!$A$5:$A$612=A141)*('2 BOM lines'!$C$5:$C$612&lt;&gt;"MAKING")*IFERROR('2 BOM lines'!$F$5:$F$612,0)*IF('2 BOM lines'!$G$5:$G$612="CT",0.2,IF('2 BOM lines'!$G$5:$G$612="RATTI",0.1215,IF('2 BOM lines'!$G$5:$G$612="GM",1,0)))))</f>
        <v/>
      </c>
      <c r="D141" s="10" t="str">
        <f aca="false">IF(A141="","",ROUND(B141-C141,3))</f>
        <v/>
      </c>
      <c r="E141" s="12" t="str">
        <f aca="false">IF(A141="","",IF(ABS(D141)&lt;=0.05,"OK","CHECK THIS PIECE"))</f>
        <v/>
      </c>
    </row>
    <row r="142" customFormat="false" ht="15" hidden="false" customHeight="false" outlineLevel="0" collapsed="false">
      <c r="A142" s="10" t="str">
        <f aca="false">IF('1 Pieces'!A143="","",'1 Pieces'!A143)</f>
        <v/>
      </c>
      <c r="B142" s="10" t="str">
        <f aca="false">IF(A142="","",IFERROR(INDEX('1 Pieces'!H:H,MATCH(A142,'1 Pieces'!A:A,0)),""))</f>
        <v/>
      </c>
      <c r="C142" s="10" t="str">
        <f aca="false">IF(A142="","",SUMPRODUCT(('2 BOM lines'!$A$5:$A$612=A142)*('2 BOM lines'!$C$5:$C$612&lt;&gt;"MAKING")*IFERROR('2 BOM lines'!$F$5:$F$612,0)*IF('2 BOM lines'!$G$5:$G$612="CT",0.2,IF('2 BOM lines'!$G$5:$G$612="RATTI",0.1215,IF('2 BOM lines'!$G$5:$G$612="GM",1,0)))))</f>
        <v/>
      </c>
      <c r="D142" s="10" t="str">
        <f aca="false">IF(A142="","",ROUND(B142-C142,3))</f>
        <v/>
      </c>
      <c r="E142" s="12" t="str">
        <f aca="false">IF(A142="","",IF(ABS(D142)&lt;=0.05,"OK","CHECK THIS PIECE"))</f>
        <v/>
      </c>
    </row>
    <row r="143" customFormat="false" ht="15" hidden="false" customHeight="false" outlineLevel="0" collapsed="false">
      <c r="A143" s="10" t="str">
        <f aca="false">IF('1 Pieces'!A144="","",'1 Pieces'!A144)</f>
        <v/>
      </c>
      <c r="B143" s="10" t="str">
        <f aca="false">IF(A143="","",IFERROR(INDEX('1 Pieces'!H:H,MATCH(A143,'1 Pieces'!A:A,0)),""))</f>
        <v/>
      </c>
      <c r="C143" s="10" t="str">
        <f aca="false">IF(A143="","",SUMPRODUCT(('2 BOM lines'!$A$5:$A$612=A143)*('2 BOM lines'!$C$5:$C$612&lt;&gt;"MAKING")*IFERROR('2 BOM lines'!$F$5:$F$612,0)*IF('2 BOM lines'!$G$5:$G$612="CT",0.2,IF('2 BOM lines'!$G$5:$G$612="RATTI",0.1215,IF('2 BOM lines'!$G$5:$G$612="GM",1,0)))))</f>
        <v/>
      </c>
      <c r="D143" s="10" t="str">
        <f aca="false">IF(A143="","",ROUND(B143-C143,3))</f>
        <v/>
      </c>
      <c r="E143" s="12" t="str">
        <f aca="false">IF(A143="","",IF(ABS(D143)&lt;=0.05,"OK","CHECK THIS PIECE"))</f>
        <v/>
      </c>
    </row>
    <row r="144" customFormat="false" ht="15" hidden="false" customHeight="false" outlineLevel="0" collapsed="false">
      <c r="A144" s="10" t="str">
        <f aca="false">IF('1 Pieces'!A145="","",'1 Pieces'!A145)</f>
        <v/>
      </c>
      <c r="B144" s="10" t="str">
        <f aca="false">IF(A144="","",IFERROR(INDEX('1 Pieces'!H:H,MATCH(A144,'1 Pieces'!A:A,0)),""))</f>
        <v/>
      </c>
      <c r="C144" s="10" t="str">
        <f aca="false">IF(A144="","",SUMPRODUCT(('2 BOM lines'!$A$5:$A$612=A144)*('2 BOM lines'!$C$5:$C$612&lt;&gt;"MAKING")*IFERROR('2 BOM lines'!$F$5:$F$612,0)*IF('2 BOM lines'!$G$5:$G$612="CT",0.2,IF('2 BOM lines'!$G$5:$G$612="RATTI",0.1215,IF('2 BOM lines'!$G$5:$G$612="GM",1,0)))))</f>
        <v/>
      </c>
      <c r="D144" s="10" t="str">
        <f aca="false">IF(A144="","",ROUND(B144-C144,3))</f>
        <v/>
      </c>
      <c r="E144" s="12" t="str">
        <f aca="false">IF(A144="","",IF(ABS(D144)&lt;=0.05,"OK","CHECK THIS PIECE"))</f>
        <v/>
      </c>
    </row>
    <row r="145" customFormat="false" ht="15" hidden="false" customHeight="false" outlineLevel="0" collapsed="false">
      <c r="A145" s="10" t="str">
        <f aca="false">IF('1 Pieces'!A146="","",'1 Pieces'!A146)</f>
        <v/>
      </c>
      <c r="B145" s="10" t="str">
        <f aca="false">IF(A145="","",IFERROR(INDEX('1 Pieces'!H:H,MATCH(A145,'1 Pieces'!A:A,0)),""))</f>
        <v/>
      </c>
      <c r="C145" s="10" t="str">
        <f aca="false">IF(A145="","",SUMPRODUCT(('2 BOM lines'!$A$5:$A$612=A145)*('2 BOM lines'!$C$5:$C$612&lt;&gt;"MAKING")*IFERROR('2 BOM lines'!$F$5:$F$612,0)*IF('2 BOM lines'!$G$5:$G$612="CT",0.2,IF('2 BOM lines'!$G$5:$G$612="RATTI",0.1215,IF('2 BOM lines'!$G$5:$G$612="GM",1,0)))))</f>
        <v/>
      </c>
      <c r="D145" s="10" t="str">
        <f aca="false">IF(A145="","",ROUND(B145-C145,3))</f>
        <v/>
      </c>
      <c r="E145" s="12" t="str">
        <f aca="false">IF(A145="","",IF(ABS(D145)&lt;=0.05,"OK","CHECK THIS PIECE"))</f>
        <v/>
      </c>
    </row>
    <row r="146" customFormat="false" ht="15" hidden="false" customHeight="false" outlineLevel="0" collapsed="false">
      <c r="A146" s="10" t="str">
        <f aca="false">IF('1 Pieces'!A147="","",'1 Pieces'!A147)</f>
        <v/>
      </c>
      <c r="B146" s="10" t="str">
        <f aca="false">IF(A146="","",IFERROR(INDEX('1 Pieces'!H:H,MATCH(A146,'1 Pieces'!A:A,0)),""))</f>
        <v/>
      </c>
      <c r="C146" s="10" t="str">
        <f aca="false">IF(A146="","",SUMPRODUCT(('2 BOM lines'!$A$5:$A$612=A146)*('2 BOM lines'!$C$5:$C$612&lt;&gt;"MAKING")*IFERROR('2 BOM lines'!$F$5:$F$612,0)*IF('2 BOM lines'!$G$5:$G$612="CT",0.2,IF('2 BOM lines'!$G$5:$G$612="RATTI",0.1215,IF('2 BOM lines'!$G$5:$G$612="GM",1,0)))))</f>
        <v/>
      </c>
      <c r="D146" s="10" t="str">
        <f aca="false">IF(A146="","",ROUND(B146-C146,3))</f>
        <v/>
      </c>
      <c r="E146" s="12" t="str">
        <f aca="false">IF(A146="","",IF(ABS(D146)&lt;=0.05,"OK","CHECK THIS PIECE"))</f>
        <v/>
      </c>
    </row>
    <row r="147" customFormat="false" ht="15" hidden="false" customHeight="false" outlineLevel="0" collapsed="false">
      <c r="A147" s="10" t="str">
        <f aca="false">IF('1 Pieces'!A148="","",'1 Pieces'!A148)</f>
        <v/>
      </c>
      <c r="B147" s="10" t="str">
        <f aca="false">IF(A147="","",IFERROR(INDEX('1 Pieces'!H:H,MATCH(A147,'1 Pieces'!A:A,0)),""))</f>
        <v/>
      </c>
      <c r="C147" s="10" t="str">
        <f aca="false">IF(A147="","",SUMPRODUCT(('2 BOM lines'!$A$5:$A$612=A147)*('2 BOM lines'!$C$5:$C$612&lt;&gt;"MAKING")*IFERROR('2 BOM lines'!$F$5:$F$612,0)*IF('2 BOM lines'!$G$5:$G$612="CT",0.2,IF('2 BOM lines'!$G$5:$G$612="RATTI",0.1215,IF('2 BOM lines'!$G$5:$G$612="GM",1,0)))))</f>
        <v/>
      </c>
      <c r="D147" s="10" t="str">
        <f aca="false">IF(A147="","",ROUND(B147-C147,3))</f>
        <v/>
      </c>
      <c r="E147" s="12" t="str">
        <f aca="false">IF(A147="","",IF(ABS(D147)&lt;=0.05,"OK","CHECK THIS PIECE"))</f>
        <v/>
      </c>
    </row>
    <row r="148" customFormat="false" ht="15" hidden="false" customHeight="false" outlineLevel="0" collapsed="false">
      <c r="A148" s="10" t="str">
        <f aca="false">IF('1 Pieces'!A149="","",'1 Pieces'!A149)</f>
        <v/>
      </c>
      <c r="B148" s="10" t="str">
        <f aca="false">IF(A148="","",IFERROR(INDEX('1 Pieces'!H:H,MATCH(A148,'1 Pieces'!A:A,0)),""))</f>
        <v/>
      </c>
      <c r="C148" s="10" t="str">
        <f aca="false">IF(A148="","",SUMPRODUCT(('2 BOM lines'!$A$5:$A$612=A148)*('2 BOM lines'!$C$5:$C$612&lt;&gt;"MAKING")*IFERROR('2 BOM lines'!$F$5:$F$612,0)*IF('2 BOM lines'!$G$5:$G$612="CT",0.2,IF('2 BOM lines'!$G$5:$G$612="RATTI",0.1215,IF('2 BOM lines'!$G$5:$G$612="GM",1,0)))))</f>
        <v/>
      </c>
      <c r="D148" s="10" t="str">
        <f aca="false">IF(A148="","",ROUND(B148-C148,3))</f>
        <v/>
      </c>
      <c r="E148" s="12" t="str">
        <f aca="false">IF(A148="","",IF(ABS(D148)&lt;=0.05,"OK","CHECK THIS PIECE"))</f>
        <v/>
      </c>
    </row>
    <row r="149" customFormat="false" ht="15" hidden="false" customHeight="false" outlineLevel="0" collapsed="false">
      <c r="A149" s="10" t="str">
        <f aca="false">IF('1 Pieces'!A150="","",'1 Pieces'!A150)</f>
        <v/>
      </c>
      <c r="B149" s="10" t="str">
        <f aca="false">IF(A149="","",IFERROR(INDEX('1 Pieces'!H:H,MATCH(A149,'1 Pieces'!A:A,0)),""))</f>
        <v/>
      </c>
      <c r="C149" s="10" t="str">
        <f aca="false">IF(A149="","",SUMPRODUCT(('2 BOM lines'!$A$5:$A$612=A149)*('2 BOM lines'!$C$5:$C$612&lt;&gt;"MAKING")*IFERROR('2 BOM lines'!$F$5:$F$612,0)*IF('2 BOM lines'!$G$5:$G$612="CT",0.2,IF('2 BOM lines'!$G$5:$G$612="RATTI",0.1215,IF('2 BOM lines'!$G$5:$G$612="GM",1,0)))))</f>
        <v/>
      </c>
      <c r="D149" s="10" t="str">
        <f aca="false">IF(A149="","",ROUND(B149-C149,3))</f>
        <v/>
      </c>
      <c r="E149" s="12" t="str">
        <f aca="false">IF(A149="","",IF(ABS(D149)&lt;=0.05,"OK","CHECK THIS PIECE"))</f>
        <v/>
      </c>
    </row>
    <row r="150" customFormat="false" ht="15" hidden="false" customHeight="false" outlineLevel="0" collapsed="false">
      <c r="A150" s="10" t="str">
        <f aca="false">IF('1 Pieces'!A151="","",'1 Pieces'!A151)</f>
        <v/>
      </c>
      <c r="B150" s="10" t="str">
        <f aca="false">IF(A150="","",IFERROR(INDEX('1 Pieces'!H:H,MATCH(A150,'1 Pieces'!A:A,0)),""))</f>
        <v/>
      </c>
      <c r="C150" s="10" t="str">
        <f aca="false">IF(A150="","",SUMPRODUCT(('2 BOM lines'!$A$5:$A$612=A150)*('2 BOM lines'!$C$5:$C$612&lt;&gt;"MAKING")*IFERROR('2 BOM lines'!$F$5:$F$612,0)*IF('2 BOM lines'!$G$5:$G$612="CT",0.2,IF('2 BOM lines'!$G$5:$G$612="RATTI",0.1215,IF('2 BOM lines'!$G$5:$G$612="GM",1,0)))))</f>
        <v/>
      </c>
      <c r="D150" s="10" t="str">
        <f aca="false">IF(A150="","",ROUND(B150-C150,3))</f>
        <v/>
      </c>
      <c r="E150" s="12" t="str">
        <f aca="false">IF(A150="","",IF(ABS(D150)&lt;=0.05,"OK","CHECK THIS PIECE"))</f>
        <v/>
      </c>
    </row>
    <row r="151" customFormat="false" ht="15" hidden="false" customHeight="false" outlineLevel="0" collapsed="false">
      <c r="A151" s="10" t="str">
        <f aca="false">IF('1 Pieces'!A152="","",'1 Pieces'!A152)</f>
        <v/>
      </c>
      <c r="B151" s="10" t="str">
        <f aca="false">IF(A151="","",IFERROR(INDEX('1 Pieces'!H:H,MATCH(A151,'1 Pieces'!A:A,0)),""))</f>
        <v/>
      </c>
      <c r="C151" s="10" t="str">
        <f aca="false">IF(A151="","",SUMPRODUCT(('2 BOM lines'!$A$5:$A$612=A151)*('2 BOM lines'!$C$5:$C$612&lt;&gt;"MAKING")*IFERROR('2 BOM lines'!$F$5:$F$612,0)*IF('2 BOM lines'!$G$5:$G$612="CT",0.2,IF('2 BOM lines'!$G$5:$G$612="RATTI",0.1215,IF('2 BOM lines'!$G$5:$G$612="GM",1,0)))))</f>
        <v/>
      </c>
      <c r="D151" s="10" t="str">
        <f aca="false">IF(A151="","",ROUND(B151-C151,3))</f>
        <v/>
      </c>
      <c r="E151" s="12" t="str">
        <f aca="false">IF(A151="","",IF(ABS(D151)&lt;=0.05,"OK","CHECK THIS PIECE"))</f>
        <v/>
      </c>
    </row>
    <row r="152" customFormat="false" ht="15" hidden="false" customHeight="false" outlineLevel="0" collapsed="false">
      <c r="A152" s="10" t="str">
        <f aca="false">IF('1 Pieces'!A153="","",'1 Pieces'!A153)</f>
        <v/>
      </c>
      <c r="B152" s="10" t="str">
        <f aca="false">IF(A152="","",IFERROR(INDEX('1 Pieces'!H:H,MATCH(A152,'1 Pieces'!A:A,0)),""))</f>
        <v/>
      </c>
      <c r="C152" s="10" t="str">
        <f aca="false">IF(A152="","",SUMPRODUCT(('2 BOM lines'!$A$5:$A$612=A152)*('2 BOM lines'!$C$5:$C$612&lt;&gt;"MAKING")*IFERROR('2 BOM lines'!$F$5:$F$612,0)*IF('2 BOM lines'!$G$5:$G$612="CT",0.2,IF('2 BOM lines'!$G$5:$G$612="RATTI",0.1215,IF('2 BOM lines'!$G$5:$G$612="GM",1,0)))))</f>
        <v/>
      </c>
      <c r="D152" s="10" t="str">
        <f aca="false">IF(A152="","",ROUND(B152-C152,3))</f>
        <v/>
      </c>
      <c r="E152" s="12" t="str">
        <f aca="false">IF(A152="","",IF(ABS(D152)&lt;=0.05,"OK","CHECK THIS PIECE"))</f>
        <v/>
      </c>
    </row>
    <row r="153" customFormat="false" ht="15" hidden="false" customHeight="false" outlineLevel="0" collapsed="false">
      <c r="A153" s="10" t="str">
        <f aca="false">IF('1 Pieces'!A154="","",'1 Pieces'!A154)</f>
        <v/>
      </c>
      <c r="B153" s="10" t="str">
        <f aca="false">IF(A153="","",IFERROR(INDEX('1 Pieces'!H:H,MATCH(A153,'1 Pieces'!A:A,0)),""))</f>
        <v/>
      </c>
      <c r="C153" s="10" t="str">
        <f aca="false">IF(A153="","",SUMPRODUCT(('2 BOM lines'!$A$5:$A$612=A153)*('2 BOM lines'!$C$5:$C$612&lt;&gt;"MAKING")*IFERROR('2 BOM lines'!$F$5:$F$612,0)*IF('2 BOM lines'!$G$5:$G$612="CT",0.2,IF('2 BOM lines'!$G$5:$G$612="RATTI",0.1215,IF('2 BOM lines'!$G$5:$G$612="GM",1,0)))))</f>
        <v/>
      </c>
      <c r="D153" s="10" t="str">
        <f aca="false">IF(A153="","",ROUND(B153-C153,3))</f>
        <v/>
      </c>
      <c r="E153" s="12" t="str">
        <f aca="false">IF(A153="","",IF(ABS(D153)&lt;=0.05,"OK","CHECK THIS PIECE"))</f>
        <v/>
      </c>
    </row>
    <row r="154" customFormat="false" ht="15" hidden="false" customHeight="false" outlineLevel="0" collapsed="false">
      <c r="A154" s="10" t="str">
        <f aca="false">IF('1 Pieces'!A155="","",'1 Pieces'!A155)</f>
        <v/>
      </c>
      <c r="B154" s="10" t="str">
        <f aca="false">IF(A154="","",IFERROR(INDEX('1 Pieces'!H:H,MATCH(A154,'1 Pieces'!A:A,0)),""))</f>
        <v/>
      </c>
      <c r="C154" s="10" t="str">
        <f aca="false">IF(A154="","",SUMPRODUCT(('2 BOM lines'!$A$5:$A$612=A154)*('2 BOM lines'!$C$5:$C$612&lt;&gt;"MAKING")*IFERROR('2 BOM lines'!$F$5:$F$612,0)*IF('2 BOM lines'!$G$5:$G$612="CT",0.2,IF('2 BOM lines'!$G$5:$G$612="RATTI",0.1215,IF('2 BOM lines'!$G$5:$G$612="GM",1,0)))))</f>
        <v/>
      </c>
      <c r="D154" s="10" t="str">
        <f aca="false">IF(A154="","",ROUND(B154-C154,3))</f>
        <v/>
      </c>
      <c r="E154" s="12" t="str">
        <f aca="false">IF(A154="","",IF(ABS(D154)&lt;=0.05,"OK","CHECK THIS PIECE"))</f>
        <v/>
      </c>
    </row>
    <row r="155" customFormat="false" ht="15" hidden="false" customHeight="false" outlineLevel="0" collapsed="false">
      <c r="A155" s="10" t="str">
        <f aca="false">IF('1 Pieces'!A156="","",'1 Pieces'!A156)</f>
        <v/>
      </c>
      <c r="B155" s="10" t="str">
        <f aca="false">IF(A155="","",IFERROR(INDEX('1 Pieces'!H:H,MATCH(A155,'1 Pieces'!A:A,0)),""))</f>
        <v/>
      </c>
      <c r="C155" s="10" t="str">
        <f aca="false">IF(A155="","",SUMPRODUCT(('2 BOM lines'!$A$5:$A$612=A155)*('2 BOM lines'!$C$5:$C$612&lt;&gt;"MAKING")*IFERROR('2 BOM lines'!$F$5:$F$612,0)*IF('2 BOM lines'!$G$5:$G$612="CT",0.2,IF('2 BOM lines'!$G$5:$G$612="RATTI",0.1215,IF('2 BOM lines'!$G$5:$G$612="GM",1,0)))))</f>
        <v/>
      </c>
      <c r="D155" s="10" t="str">
        <f aca="false">IF(A155="","",ROUND(B155-C155,3))</f>
        <v/>
      </c>
      <c r="E155" s="12" t="str">
        <f aca="false">IF(A155="","",IF(ABS(D155)&lt;=0.05,"OK","CHECK THIS PIECE"))</f>
        <v/>
      </c>
    </row>
    <row r="156" customFormat="false" ht="15" hidden="false" customHeight="false" outlineLevel="0" collapsed="false">
      <c r="A156" s="10" t="str">
        <f aca="false">IF('1 Pieces'!A157="","",'1 Pieces'!A157)</f>
        <v/>
      </c>
      <c r="B156" s="10" t="str">
        <f aca="false">IF(A156="","",IFERROR(INDEX('1 Pieces'!H:H,MATCH(A156,'1 Pieces'!A:A,0)),""))</f>
        <v/>
      </c>
      <c r="C156" s="10" t="str">
        <f aca="false">IF(A156="","",SUMPRODUCT(('2 BOM lines'!$A$5:$A$612=A156)*('2 BOM lines'!$C$5:$C$612&lt;&gt;"MAKING")*IFERROR('2 BOM lines'!$F$5:$F$612,0)*IF('2 BOM lines'!$G$5:$G$612="CT",0.2,IF('2 BOM lines'!$G$5:$G$612="RATTI",0.1215,IF('2 BOM lines'!$G$5:$G$612="GM",1,0)))))</f>
        <v/>
      </c>
      <c r="D156" s="10" t="str">
        <f aca="false">IF(A156="","",ROUND(B156-C156,3))</f>
        <v/>
      </c>
      <c r="E156" s="12" t="str">
        <f aca="false">IF(A156="","",IF(ABS(D156)&lt;=0.05,"OK","CHECK THIS PIECE"))</f>
        <v/>
      </c>
    </row>
    <row r="157" customFormat="false" ht="15" hidden="false" customHeight="false" outlineLevel="0" collapsed="false">
      <c r="A157" s="10" t="str">
        <f aca="false">IF('1 Pieces'!A158="","",'1 Pieces'!A158)</f>
        <v/>
      </c>
      <c r="B157" s="10" t="str">
        <f aca="false">IF(A157="","",IFERROR(INDEX('1 Pieces'!H:H,MATCH(A157,'1 Pieces'!A:A,0)),""))</f>
        <v/>
      </c>
      <c r="C157" s="10" t="str">
        <f aca="false">IF(A157="","",SUMPRODUCT(('2 BOM lines'!$A$5:$A$612=A157)*('2 BOM lines'!$C$5:$C$612&lt;&gt;"MAKING")*IFERROR('2 BOM lines'!$F$5:$F$612,0)*IF('2 BOM lines'!$G$5:$G$612="CT",0.2,IF('2 BOM lines'!$G$5:$G$612="RATTI",0.1215,IF('2 BOM lines'!$G$5:$G$612="GM",1,0)))))</f>
        <v/>
      </c>
      <c r="D157" s="10" t="str">
        <f aca="false">IF(A157="","",ROUND(B157-C157,3))</f>
        <v/>
      </c>
      <c r="E157" s="12" t="str">
        <f aca="false">IF(A157="","",IF(ABS(D157)&lt;=0.05,"OK","CHECK THIS PIECE"))</f>
        <v/>
      </c>
    </row>
    <row r="158" customFormat="false" ht="15" hidden="false" customHeight="false" outlineLevel="0" collapsed="false">
      <c r="A158" s="10" t="str">
        <f aca="false">IF('1 Pieces'!A159="","",'1 Pieces'!A159)</f>
        <v/>
      </c>
      <c r="B158" s="10" t="str">
        <f aca="false">IF(A158="","",IFERROR(INDEX('1 Pieces'!H:H,MATCH(A158,'1 Pieces'!A:A,0)),""))</f>
        <v/>
      </c>
      <c r="C158" s="10" t="str">
        <f aca="false">IF(A158="","",SUMPRODUCT(('2 BOM lines'!$A$5:$A$612=A158)*('2 BOM lines'!$C$5:$C$612&lt;&gt;"MAKING")*IFERROR('2 BOM lines'!$F$5:$F$612,0)*IF('2 BOM lines'!$G$5:$G$612="CT",0.2,IF('2 BOM lines'!$G$5:$G$612="RATTI",0.1215,IF('2 BOM lines'!$G$5:$G$612="GM",1,0)))))</f>
        <v/>
      </c>
      <c r="D158" s="10" t="str">
        <f aca="false">IF(A158="","",ROUND(B158-C158,3))</f>
        <v/>
      </c>
      <c r="E158" s="12" t="str">
        <f aca="false">IF(A158="","",IF(ABS(D158)&lt;=0.05,"OK","CHECK THIS PIECE"))</f>
        <v/>
      </c>
    </row>
    <row r="159" customFormat="false" ht="15" hidden="false" customHeight="false" outlineLevel="0" collapsed="false">
      <c r="A159" s="10" t="str">
        <f aca="false">IF('1 Pieces'!A160="","",'1 Pieces'!A160)</f>
        <v/>
      </c>
      <c r="B159" s="10" t="str">
        <f aca="false">IF(A159="","",IFERROR(INDEX('1 Pieces'!H:H,MATCH(A159,'1 Pieces'!A:A,0)),""))</f>
        <v/>
      </c>
      <c r="C159" s="10" t="str">
        <f aca="false">IF(A159="","",SUMPRODUCT(('2 BOM lines'!$A$5:$A$612=A159)*('2 BOM lines'!$C$5:$C$612&lt;&gt;"MAKING")*IFERROR('2 BOM lines'!$F$5:$F$612,0)*IF('2 BOM lines'!$G$5:$G$612="CT",0.2,IF('2 BOM lines'!$G$5:$G$612="RATTI",0.1215,IF('2 BOM lines'!$G$5:$G$612="GM",1,0)))))</f>
        <v/>
      </c>
      <c r="D159" s="10" t="str">
        <f aca="false">IF(A159="","",ROUND(B159-C159,3))</f>
        <v/>
      </c>
      <c r="E159" s="12" t="str">
        <f aca="false">IF(A159="","",IF(ABS(D159)&lt;=0.05,"OK","CHECK THIS PIECE"))</f>
        <v/>
      </c>
    </row>
    <row r="160" customFormat="false" ht="15" hidden="false" customHeight="false" outlineLevel="0" collapsed="false">
      <c r="A160" s="10" t="str">
        <f aca="false">IF('1 Pieces'!A161="","",'1 Pieces'!A161)</f>
        <v/>
      </c>
      <c r="B160" s="10" t="str">
        <f aca="false">IF(A160="","",IFERROR(INDEX('1 Pieces'!H:H,MATCH(A160,'1 Pieces'!A:A,0)),""))</f>
        <v/>
      </c>
      <c r="C160" s="10" t="str">
        <f aca="false">IF(A160="","",SUMPRODUCT(('2 BOM lines'!$A$5:$A$612=A160)*('2 BOM lines'!$C$5:$C$612&lt;&gt;"MAKING")*IFERROR('2 BOM lines'!$F$5:$F$612,0)*IF('2 BOM lines'!$G$5:$G$612="CT",0.2,IF('2 BOM lines'!$G$5:$G$612="RATTI",0.1215,IF('2 BOM lines'!$G$5:$G$612="GM",1,0)))))</f>
        <v/>
      </c>
      <c r="D160" s="10" t="str">
        <f aca="false">IF(A160="","",ROUND(B160-C160,3))</f>
        <v/>
      </c>
      <c r="E160" s="12" t="str">
        <f aca="false">IF(A160="","",IF(ABS(D160)&lt;=0.05,"OK","CHECK THIS PIECE"))</f>
        <v/>
      </c>
    </row>
    <row r="161" customFormat="false" ht="15" hidden="false" customHeight="false" outlineLevel="0" collapsed="false">
      <c r="A161" s="10" t="str">
        <f aca="false">IF('1 Pieces'!A162="","",'1 Pieces'!A162)</f>
        <v/>
      </c>
      <c r="B161" s="10" t="str">
        <f aca="false">IF(A161="","",IFERROR(INDEX('1 Pieces'!H:H,MATCH(A161,'1 Pieces'!A:A,0)),""))</f>
        <v/>
      </c>
      <c r="C161" s="10" t="str">
        <f aca="false">IF(A161="","",SUMPRODUCT(('2 BOM lines'!$A$5:$A$612=A161)*('2 BOM lines'!$C$5:$C$612&lt;&gt;"MAKING")*IFERROR('2 BOM lines'!$F$5:$F$612,0)*IF('2 BOM lines'!$G$5:$G$612="CT",0.2,IF('2 BOM lines'!$G$5:$G$612="RATTI",0.1215,IF('2 BOM lines'!$G$5:$G$612="GM",1,0)))))</f>
        <v/>
      </c>
      <c r="D161" s="10" t="str">
        <f aca="false">IF(A161="","",ROUND(B161-C161,3))</f>
        <v/>
      </c>
      <c r="E161" s="12" t="str">
        <f aca="false">IF(A161="","",IF(ABS(D161)&lt;=0.05,"OK","CHECK THIS PIECE"))</f>
        <v/>
      </c>
    </row>
    <row r="162" customFormat="false" ht="15" hidden="false" customHeight="false" outlineLevel="0" collapsed="false">
      <c r="A162" s="10" t="str">
        <f aca="false">IF('1 Pieces'!A163="","",'1 Pieces'!A163)</f>
        <v/>
      </c>
      <c r="B162" s="10" t="str">
        <f aca="false">IF(A162="","",IFERROR(INDEX('1 Pieces'!H:H,MATCH(A162,'1 Pieces'!A:A,0)),""))</f>
        <v/>
      </c>
      <c r="C162" s="10" t="str">
        <f aca="false">IF(A162="","",SUMPRODUCT(('2 BOM lines'!$A$5:$A$612=A162)*('2 BOM lines'!$C$5:$C$612&lt;&gt;"MAKING")*IFERROR('2 BOM lines'!$F$5:$F$612,0)*IF('2 BOM lines'!$G$5:$G$612="CT",0.2,IF('2 BOM lines'!$G$5:$G$612="RATTI",0.1215,IF('2 BOM lines'!$G$5:$G$612="GM",1,0)))))</f>
        <v/>
      </c>
      <c r="D162" s="10" t="str">
        <f aca="false">IF(A162="","",ROUND(B162-C162,3))</f>
        <v/>
      </c>
      <c r="E162" s="12" t="str">
        <f aca="false">IF(A162="","",IF(ABS(D162)&lt;=0.05,"OK","CHECK THIS PIECE"))</f>
        <v/>
      </c>
    </row>
    <row r="163" customFormat="false" ht="15" hidden="false" customHeight="false" outlineLevel="0" collapsed="false">
      <c r="A163" s="10" t="str">
        <f aca="false">IF('1 Pieces'!A164="","",'1 Pieces'!A164)</f>
        <v/>
      </c>
      <c r="B163" s="10" t="str">
        <f aca="false">IF(A163="","",IFERROR(INDEX('1 Pieces'!H:H,MATCH(A163,'1 Pieces'!A:A,0)),""))</f>
        <v/>
      </c>
      <c r="C163" s="10" t="str">
        <f aca="false">IF(A163="","",SUMPRODUCT(('2 BOM lines'!$A$5:$A$612=A163)*('2 BOM lines'!$C$5:$C$612&lt;&gt;"MAKING")*IFERROR('2 BOM lines'!$F$5:$F$612,0)*IF('2 BOM lines'!$G$5:$G$612="CT",0.2,IF('2 BOM lines'!$G$5:$G$612="RATTI",0.1215,IF('2 BOM lines'!$G$5:$G$612="GM",1,0)))))</f>
        <v/>
      </c>
      <c r="D163" s="10" t="str">
        <f aca="false">IF(A163="","",ROUND(B163-C163,3))</f>
        <v/>
      </c>
      <c r="E163" s="12" t="str">
        <f aca="false">IF(A163="","",IF(ABS(D163)&lt;=0.05,"OK","CHECK THIS PIECE"))</f>
        <v/>
      </c>
    </row>
    <row r="164" customFormat="false" ht="15" hidden="false" customHeight="false" outlineLevel="0" collapsed="false">
      <c r="A164" s="10" t="str">
        <f aca="false">IF('1 Pieces'!A165="","",'1 Pieces'!A165)</f>
        <v/>
      </c>
      <c r="B164" s="10" t="str">
        <f aca="false">IF(A164="","",IFERROR(INDEX('1 Pieces'!H:H,MATCH(A164,'1 Pieces'!A:A,0)),""))</f>
        <v/>
      </c>
      <c r="C164" s="10" t="str">
        <f aca="false">IF(A164="","",SUMPRODUCT(('2 BOM lines'!$A$5:$A$612=A164)*('2 BOM lines'!$C$5:$C$612&lt;&gt;"MAKING")*IFERROR('2 BOM lines'!$F$5:$F$612,0)*IF('2 BOM lines'!$G$5:$G$612="CT",0.2,IF('2 BOM lines'!$G$5:$G$612="RATTI",0.1215,IF('2 BOM lines'!$G$5:$G$612="GM",1,0)))))</f>
        <v/>
      </c>
      <c r="D164" s="10" t="str">
        <f aca="false">IF(A164="","",ROUND(B164-C164,3))</f>
        <v/>
      </c>
      <c r="E164" s="12" t="str">
        <f aca="false">IF(A164="","",IF(ABS(D164)&lt;=0.05,"OK","CHECK THIS PIECE"))</f>
        <v/>
      </c>
    </row>
    <row r="165" customFormat="false" ht="15" hidden="false" customHeight="false" outlineLevel="0" collapsed="false">
      <c r="A165" s="10" t="str">
        <f aca="false">IF('1 Pieces'!A166="","",'1 Pieces'!A166)</f>
        <v/>
      </c>
      <c r="B165" s="10" t="str">
        <f aca="false">IF(A165="","",IFERROR(INDEX('1 Pieces'!H:H,MATCH(A165,'1 Pieces'!A:A,0)),""))</f>
        <v/>
      </c>
      <c r="C165" s="10" t="str">
        <f aca="false">IF(A165="","",SUMPRODUCT(('2 BOM lines'!$A$5:$A$612=A165)*('2 BOM lines'!$C$5:$C$612&lt;&gt;"MAKING")*IFERROR('2 BOM lines'!$F$5:$F$612,0)*IF('2 BOM lines'!$G$5:$G$612="CT",0.2,IF('2 BOM lines'!$G$5:$G$612="RATTI",0.1215,IF('2 BOM lines'!$G$5:$G$612="GM",1,0)))))</f>
        <v/>
      </c>
      <c r="D165" s="10" t="str">
        <f aca="false">IF(A165="","",ROUND(B165-C165,3))</f>
        <v/>
      </c>
      <c r="E165" s="12" t="str">
        <f aca="false">IF(A165="","",IF(ABS(D165)&lt;=0.05,"OK","CHECK THIS PIECE"))</f>
        <v/>
      </c>
    </row>
    <row r="166" customFormat="false" ht="15" hidden="false" customHeight="false" outlineLevel="0" collapsed="false">
      <c r="A166" s="10" t="str">
        <f aca="false">IF('1 Pieces'!A167="","",'1 Pieces'!A167)</f>
        <v/>
      </c>
      <c r="B166" s="10" t="str">
        <f aca="false">IF(A166="","",IFERROR(INDEX('1 Pieces'!H:H,MATCH(A166,'1 Pieces'!A:A,0)),""))</f>
        <v/>
      </c>
      <c r="C166" s="10" t="str">
        <f aca="false">IF(A166="","",SUMPRODUCT(('2 BOM lines'!$A$5:$A$612=A166)*('2 BOM lines'!$C$5:$C$612&lt;&gt;"MAKING")*IFERROR('2 BOM lines'!$F$5:$F$612,0)*IF('2 BOM lines'!$G$5:$G$612="CT",0.2,IF('2 BOM lines'!$G$5:$G$612="RATTI",0.1215,IF('2 BOM lines'!$G$5:$G$612="GM",1,0)))))</f>
        <v/>
      </c>
      <c r="D166" s="10" t="str">
        <f aca="false">IF(A166="","",ROUND(B166-C166,3))</f>
        <v/>
      </c>
      <c r="E166" s="12" t="str">
        <f aca="false">IF(A166="","",IF(ABS(D166)&lt;=0.05,"OK","CHECK THIS PIECE"))</f>
        <v/>
      </c>
    </row>
    <row r="167" customFormat="false" ht="15" hidden="false" customHeight="false" outlineLevel="0" collapsed="false">
      <c r="A167" s="10" t="str">
        <f aca="false">IF('1 Pieces'!A168="","",'1 Pieces'!A168)</f>
        <v/>
      </c>
      <c r="B167" s="10" t="str">
        <f aca="false">IF(A167="","",IFERROR(INDEX('1 Pieces'!H:H,MATCH(A167,'1 Pieces'!A:A,0)),""))</f>
        <v/>
      </c>
      <c r="C167" s="10" t="str">
        <f aca="false">IF(A167="","",SUMPRODUCT(('2 BOM lines'!$A$5:$A$612=A167)*('2 BOM lines'!$C$5:$C$612&lt;&gt;"MAKING")*IFERROR('2 BOM lines'!$F$5:$F$612,0)*IF('2 BOM lines'!$G$5:$G$612="CT",0.2,IF('2 BOM lines'!$G$5:$G$612="RATTI",0.1215,IF('2 BOM lines'!$G$5:$G$612="GM",1,0)))))</f>
        <v/>
      </c>
      <c r="D167" s="10" t="str">
        <f aca="false">IF(A167="","",ROUND(B167-C167,3))</f>
        <v/>
      </c>
      <c r="E167" s="12" t="str">
        <f aca="false">IF(A167="","",IF(ABS(D167)&lt;=0.05,"OK","CHECK THIS PIECE"))</f>
        <v/>
      </c>
    </row>
    <row r="168" customFormat="false" ht="15" hidden="false" customHeight="false" outlineLevel="0" collapsed="false">
      <c r="A168" s="10" t="str">
        <f aca="false">IF('1 Pieces'!A169="","",'1 Pieces'!A169)</f>
        <v/>
      </c>
      <c r="B168" s="10" t="str">
        <f aca="false">IF(A168="","",IFERROR(INDEX('1 Pieces'!H:H,MATCH(A168,'1 Pieces'!A:A,0)),""))</f>
        <v/>
      </c>
      <c r="C168" s="10" t="str">
        <f aca="false">IF(A168="","",SUMPRODUCT(('2 BOM lines'!$A$5:$A$612=A168)*('2 BOM lines'!$C$5:$C$612&lt;&gt;"MAKING")*IFERROR('2 BOM lines'!$F$5:$F$612,0)*IF('2 BOM lines'!$G$5:$G$612="CT",0.2,IF('2 BOM lines'!$G$5:$G$612="RATTI",0.1215,IF('2 BOM lines'!$G$5:$G$612="GM",1,0)))))</f>
        <v/>
      </c>
      <c r="D168" s="10" t="str">
        <f aca="false">IF(A168="","",ROUND(B168-C168,3))</f>
        <v/>
      </c>
      <c r="E168" s="12" t="str">
        <f aca="false">IF(A168="","",IF(ABS(D168)&lt;=0.05,"OK","CHECK THIS PIECE"))</f>
        <v/>
      </c>
    </row>
    <row r="169" customFormat="false" ht="15" hidden="false" customHeight="false" outlineLevel="0" collapsed="false">
      <c r="A169" s="10" t="str">
        <f aca="false">IF('1 Pieces'!A170="","",'1 Pieces'!A170)</f>
        <v/>
      </c>
      <c r="B169" s="10" t="str">
        <f aca="false">IF(A169="","",IFERROR(INDEX('1 Pieces'!H:H,MATCH(A169,'1 Pieces'!A:A,0)),""))</f>
        <v/>
      </c>
      <c r="C169" s="10" t="str">
        <f aca="false">IF(A169="","",SUMPRODUCT(('2 BOM lines'!$A$5:$A$612=A169)*('2 BOM lines'!$C$5:$C$612&lt;&gt;"MAKING")*IFERROR('2 BOM lines'!$F$5:$F$612,0)*IF('2 BOM lines'!$G$5:$G$612="CT",0.2,IF('2 BOM lines'!$G$5:$G$612="RATTI",0.1215,IF('2 BOM lines'!$G$5:$G$612="GM",1,0)))))</f>
        <v/>
      </c>
      <c r="D169" s="10" t="str">
        <f aca="false">IF(A169="","",ROUND(B169-C169,3))</f>
        <v/>
      </c>
      <c r="E169" s="12" t="str">
        <f aca="false">IF(A169="","",IF(ABS(D169)&lt;=0.05,"OK","CHECK THIS PIECE"))</f>
        <v/>
      </c>
    </row>
    <row r="170" customFormat="false" ht="15" hidden="false" customHeight="false" outlineLevel="0" collapsed="false">
      <c r="A170" s="10" t="str">
        <f aca="false">IF('1 Pieces'!A171="","",'1 Pieces'!A171)</f>
        <v/>
      </c>
      <c r="B170" s="10" t="str">
        <f aca="false">IF(A170="","",IFERROR(INDEX('1 Pieces'!H:H,MATCH(A170,'1 Pieces'!A:A,0)),""))</f>
        <v/>
      </c>
      <c r="C170" s="10" t="str">
        <f aca="false">IF(A170="","",SUMPRODUCT(('2 BOM lines'!$A$5:$A$612=A170)*('2 BOM lines'!$C$5:$C$612&lt;&gt;"MAKING")*IFERROR('2 BOM lines'!$F$5:$F$612,0)*IF('2 BOM lines'!$G$5:$G$612="CT",0.2,IF('2 BOM lines'!$G$5:$G$612="RATTI",0.1215,IF('2 BOM lines'!$G$5:$G$612="GM",1,0)))))</f>
        <v/>
      </c>
      <c r="D170" s="10" t="str">
        <f aca="false">IF(A170="","",ROUND(B170-C170,3))</f>
        <v/>
      </c>
      <c r="E170" s="12" t="str">
        <f aca="false">IF(A170="","",IF(ABS(D170)&lt;=0.05,"OK","CHECK THIS PIECE"))</f>
        <v/>
      </c>
    </row>
    <row r="171" customFormat="false" ht="15" hidden="false" customHeight="false" outlineLevel="0" collapsed="false">
      <c r="A171" s="10" t="str">
        <f aca="false">IF('1 Pieces'!A172="","",'1 Pieces'!A172)</f>
        <v/>
      </c>
      <c r="B171" s="10" t="str">
        <f aca="false">IF(A171="","",IFERROR(INDEX('1 Pieces'!H:H,MATCH(A171,'1 Pieces'!A:A,0)),""))</f>
        <v/>
      </c>
      <c r="C171" s="10" t="str">
        <f aca="false">IF(A171="","",SUMPRODUCT(('2 BOM lines'!$A$5:$A$612=A171)*('2 BOM lines'!$C$5:$C$612&lt;&gt;"MAKING")*IFERROR('2 BOM lines'!$F$5:$F$612,0)*IF('2 BOM lines'!$G$5:$G$612="CT",0.2,IF('2 BOM lines'!$G$5:$G$612="RATTI",0.1215,IF('2 BOM lines'!$G$5:$G$612="GM",1,0)))))</f>
        <v/>
      </c>
      <c r="D171" s="10" t="str">
        <f aca="false">IF(A171="","",ROUND(B171-C171,3))</f>
        <v/>
      </c>
      <c r="E171" s="12" t="str">
        <f aca="false">IF(A171="","",IF(ABS(D171)&lt;=0.05,"OK","CHECK THIS PIECE"))</f>
        <v/>
      </c>
    </row>
    <row r="172" customFormat="false" ht="15" hidden="false" customHeight="false" outlineLevel="0" collapsed="false">
      <c r="A172" s="10" t="str">
        <f aca="false">IF('1 Pieces'!A173="","",'1 Pieces'!A173)</f>
        <v/>
      </c>
      <c r="B172" s="10" t="str">
        <f aca="false">IF(A172="","",IFERROR(INDEX('1 Pieces'!H:H,MATCH(A172,'1 Pieces'!A:A,0)),""))</f>
        <v/>
      </c>
      <c r="C172" s="10" t="str">
        <f aca="false">IF(A172="","",SUMPRODUCT(('2 BOM lines'!$A$5:$A$612=A172)*('2 BOM lines'!$C$5:$C$612&lt;&gt;"MAKING")*IFERROR('2 BOM lines'!$F$5:$F$612,0)*IF('2 BOM lines'!$G$5:$G$612="CT",0.2,IF('2 BOM lines'!$G$5:$G$612="RATTI",0.1215,IF('2 BOM lines'!$G$5:$G$612="GM",1,0)))))</f>
        <v/>
      </c>
      <c r="D172" s="10" t="str">
        <f aca="false">IF(A172="","",ROUND(B172-C172,3))</f>
        <v/>
      </c>
      <c r="E172" s="12" t="str">
        <f aca="false">IF(A172="","",IF(ABS(D172)&lt;=0.05,"OK","CHECK THIS PIECE"))</f>
        <v/>
      </c>
    </row>
    <row r="173" customFormat="false" ht="15" hidden="false" customHeight="false" outlineLevel="0" collapsed="false">
      <c r="A173" s="10" t="str">
        <f aca="false">IF('1 Pieces'!A174="","",'1 Pieces'!A174)</f>
        <v/>
      </c>
      <c r="B173" s="10" t="str">
        <f aca="false">IF(A173="","",IFERROR(INDEX('1 Pieces'!H:H,MATCH(A173,'1 Pieces'!A:A,0)),""))</f>
        <v/>
      </c>
      <c r="C173" s="10" t="str">
        <f aca="false">IF(A173="","",SUMPRODUCT(('2 BOM lines'!$A$5:$A$612=A173)*('2 BOM lines'!$C$5:$C$612&lt;&gt;"MAKING")*IFERROR('2 BOM lines'!$F$5:$F$612,0)*IF('2 BOM lines'!$G$5:$G$612="CT",0.2,IF('2 BOM lines'!$G$5:$G$612="RATTI",0.1215,IF('2 BOM lines'!$G$5:$G$612="GM",1,0)))))</f>
        <v/>
      </c>
      <c r="D173" s="10" t="str">
        <f aca="false">IF(A173="","",ROUND(B173-C173,3))</f>
        <v/>
      </c>
      <c r="E173" s="12" t="str">
        <f aca="false">IF(A173="","",IF(ABS(D173)&lt;=0.05,"OK","CHECK THIS PIECE"))</f>
        <v/>
      </c>
    </row>
    <row r="174" customFormat="false" ht="15" hidden="false" customHeight="false" outlineLevel="0" collapsed="false">
      <c r="A174" s="10" t="str">
        <f aca="false">IF('1 Pieces'!A175="","",'1 Pieces'!A175)</f>
        <v/>
      </c>
      <c r="B174" s="10" t="str">
        <f aca="false">IF(A174="","",IFERROR(INDEX('1 Pieces'!H:H,MATCH(A174,'1 Pieces'!A:A,0)),""))</f>
        <v/>
      </c>
      <c r="C174" s="10" t="str">
        <f aca="false">IF(A174="","",SUMPRODUCT(('2 BOM lines'!$A$5:$A$612=A174)*('2 BOM lines'!$C$5:$C$612&lt;&gt;"MAKING")*IFERROR('2 BOM lines'!$F$5:$F$612,0)*IF('2 BOM lines'!$G$5:$G$612="CT",0.2,IF('2 BOM lines'!$G$5:$G$612="RATTI",0.1215,IF('2 BOM lines'!$G$5:$G$612="GM",1,0)))))</f>
        <v/>
      </c>
      <c r="D174" s="10" t="str">
        <f aca="false">IF(A174="","",ROUND(B174-C174,3))</f>
        <v/>
      </c>
      <c r="E174" s="12" t="str">
        <f aca="false">IF(A174="","",IF(ABS(D174)&lt;=0.05,"OK","CHECK THIS PIECE"))</f>
        <v/>
      </c>
    </row>
    <row r="175" customFormat="false" ht="15" hidden="false" customHeight="false" outlineLevel="0" collapsed="false">
      <c r="A175" s="10" t="str">
        <f aca="false">IF('1 Pieces'!A176="","",'1 Pieces'!A176)</f>
        <v/>
      </c>
      <c r="B175" s="10" t="str">
        <f aca="false">IF(A175="","",IFERROR(INDEX('1 Pieces'!H:H,MATCH(A175,'1 Pieces'!A:A,0)),""))</f>
        <v/>
      </c>
      <c r="C175" s="10" t="str">
        <f aca="false">IF(A175="","",SUMPRODUCT(('2 BOM lines'!$A$5:$A$612=A175)*('2 BOM lines'!$C$5:$C$612&lt;&gt;"MAKING")*IFERROR('2 BOM lines'!$F$5:$F$612,0)*IF('2 BOM lines'!$G$5:$G$612="CT",0.2,IF('2 BOM lines'!$G$5:$G$612="RATTI",0.1215,IF('2 BOM lines'!$G$5:$G$612="GM",1,0)))))</f>
        <v/>
      </c>
      <c r="D175" s="10" t="str">
        <f aca="false">IF(A175="","",ROUND(B175-C175,3))</f>
        <v/>
      </c>
      <c r="E175" s="12" t="str">
        <f aca="false">IF(A175="","",IF(ABS(D175)&lt;=0.05,"OK","CHECK THIS PIECE"))</f>
        <v/>
      </c>
    </row>
    <row r="176" customFormat="false" ht="15" hidden="false" customHeight="false" outlineLevel="0" collapsed="false">
      <c r="A176" s="10" t="str">
        <f aca="false">IF('1 Pieces'!A177="","",'1 Pieces'!A177)</f>
        <v/>
      </c>
      <c r="B176" s="10" t="str">
        <f aca="false">IF(A176="","",IFERROR(INDEX('1 Pieces'!H:H,MATCH(A176,'1 Pieces'!A:A,0)),""))</f>
        <v/>
      </c>
      <c r="C176" s="10" t="str">
        <f aca="false">IF(A176="","",SUMPRODUCT(('2 BOM lines'!$A$5:$A$612=A176)*('2 BOM lines'!$C$5:$C$612&lt;&gt;"MAKING")*IFERROR('2 BOM lines'!$F$5:$F$612,0)*IF('2 BOM lines'!$G$5:$G$612="CT",0.2,IF('2 BOM lines'!$G$5:$G$612="RATTI",0.1215,IF('2 BOM lines'!$G$5:$G$612="GM",1,0)))))</f>
        <v/>
      </c>
      <c r="D176" s="10" t="str">
        <f aca="false">IF(A176="","",ROUND(B176-C176,3))</f>
        <v/>
      </c>
      <c r="E176" s="12" t="str">
        <f aca="false">IF(A176="","",IF(ABS(D176)&lt;=0.05,"OK","CHECK THIS PIECE"))</f>
        <v/>
      </c>
    </row>
    <row r="177" customFormat="false" ht="15" hidden="false" customHeight="false" outlineLevel="0" collapsed="false">
      <c r="A177" s="10" t="str">
        <f aca="false">IF('1 Pieces'!A178="","",'1 Pieces'!A178)</f>
        <v/>
      </c>
      <c r="B177" s="10" t="str">
        <f aca="false">IF(A177="","",IFERROR(INDEX('1 Pieces'!H:H,MATCH(A177,'1 Pieces'!A:A,0)),""))</f>
        <v/>
      </c>
      <c r="C177" s="10" t="str">
        <f aca="false">IF(A177="","",SUMPRODUCT(('2 BOM lines'!$A$5:$A$612=A177)*('2 BOM lines'!$C$5:$C$612&lt;&gt;"MAKING")*IFERROR('2 BOM lines'!$F$5:$F$612,0)*IF('2 BOM lines'!$G$5:$G$612="CT",0.2,IF('2 BOM lines'!$G$5:$G$612="RATTI",0.1215,IF('2 BOM lines'!$G$5:$G$612="GM",1,0)))))</f>
        <v/>
      </c>
      <c r="D177" s="10" t="str">
        <f aca="false">IF(A177="","",ROUND(B177-C177,3))</f>
        <v/>
      </c>
      <c r="E177" s="12" t="str">
        <f aca="false">IF(A177="","",IF(ABS(D177)&lt;=0.05,"OK","CHECK THIS PIECE"))</f>
        <v/>
      </c>
    </row>
    <row r="178" customFormat="false" ht="15" hidden="false" customHeight="false" outlineLevel="0" collapsed="false">
      <c r="A178" s="10" t="str">
        <f aca="false">IF('1 Pieces'!A179="","",'1 Pieces'!A179)</f>
        <v/>
      </c>
      <c r="B178" s="10" t="str">
        <f aca="false">IF(A178="","",IFERROR(INDEX('1 Pieces'!H:H,MATCH(A178,'1 Pieces'!A:A,0)),""))</f>
        <v/>
      </c>
      <c r="C178" s="10" t="str">
        <f aca="false">IF(A178="","",SUMPRODUCT(('2 BOM lines'!$A$5:$A$612=A178)*('2 BOM lines'!$C$5:$C$612&lt;&gt;"MAKING")*IFERROR('2 BOM lines'!$F$5:$F$612,0)*IF('2 BOM lines'!$G$5:$G$612="CT",0.2,IF('2 BOM lines'!$G$5:$G$612="RATTI",0.1215,IF('2 BOM lines'!$G$5:$G$612="GM",1,0)))))</f>
        <v/>
      </c>
      <c r="D178" s="10" t="str">
        <f aca="false">IF(A178="","",ROUND(B178-C178,3))</f>
        <v/>
      </c>
      <c r="E178" s="12" t="str">
        <f aca="false">IF(A178="","",IF(ABS(D178)&lt;=0.05,"OK","CHECK THIS PIECE"))</f>
        <v/>
      </c>
    </row>
    <row r="179" customFormat="false" ht="15" hidden="false" customHeight="false" outlineLevel="0" collapsed="false">
      <c r="A179" s="10" t="str">
        <f aca="false">IF('1 Pieces'!A180="","",'1 Pieces'!A180)</f>
        <v/>
      </c>
      <c r="B179" s="10" t="str">
        <f aca="false">IF(A179="","",IFERROR(INDEX('1 Pieces'!H:H,MATCH(A179,'1 Pieces'!A:A,0)),""))</f>
        <v/>
      </c>
      <c r="C179" s="10" t="str">
        <f aca="false">IF(A179="","",SUMPRODUCT(('2 BOM lines'!$A$5:$A$612=A179)*('2 BOM lines'!$C$5:$C$612&lt;&gt;"MAKING")*IFERROR('2 BOM lines'!$F$5:$F$612,0)*IF('2 BOM lines'!$G$5:$G$612="CT",0.2,IF('2 BOM lines'!$G$5:$G$612="RATTI",0.1215,IF('2 BOM lines'!$G$5:$G$612="GM",1,0)))))</f>
        <v/>
      </c>
      <c r="D179" s="10" t="str">
        <f aca="false">IF(A179="","",ROUND(B179-C179,3))</f>
        <v/>
      </c>
      <c r="E179" s="12" t="str">
        <f aca="false">IF(A179="","",IF(ABS(D179)&lt;=0.05,"OK","CHECK THIS PIECE"))</f>
        <v/>
      </c>
    </row>
    <row r="180" customFormat="false" ht="15" hidden="false" customHeight="false" outlineLevel="0" collapsed="false">
      <c r="A180" s="10" t="str">
        <f aca="false">IF('1 Pieces'!A181="","",'1 Pieces'!A181)</f>
        <v/>
      </c>
      <c r="B180" s="10" t="str">
        <f aca="false">IF(A180="","",IFERROR(INDEX('1 Pieces'!H:H,MATCH(A180,'1 Pieces'!A:A,0)),""))</f>
        <v/>
      </c>
      <c r="C180" s="10" t="str">
        <f aca="false">IF(A180="","",SUMPRODUCT(('2 BOM lines'!$A$5:$A$612=A180)*('2 BOM lines'!$C$5:$C$612&lt;&gt;"MAKING")*IFERROR('2 BOM lines'!$F$5:$F$612,0)*IF('2 BOM lines'!$G$5:$G$612="CT",0.2,IF('2 BOM lines'!$G$5:$G$612="RATTI",0.1215,IF('2 BOM lines'!$G$5:$G$612="GM",1,0)))))</f>
        <v/>
      </c>
      <c r="D180" s="10" t="str">
        <f aca="false">IF(A180="","",ROUND(B180-C180,3))</f>
        <v/>
      </c>
      <c r="E180" s="12" t="str">
        <f aca="false">IF(A180="","",IF(ABS(D180)&lt;=0.05,"OK","CHECK THIS PIECE"))</f>
        <v/>
      </c>
    </row>
    <row r="181" customFormat="false" ht="15" hidden="false" customHeight="false" outlineLevel="0" collapsed="false">
      <c r="A181" s="10" t="str">
        <f aca="false">IF('1 Pieces'!A182="","",'1 Pieces'!A182)</f>
        <v/>
      </c>
      <c r="B181" s="10" t="str">
        <f aca="false">IF(A181="","",IFERROR(INDEX('1 Pieces'!H:H,MATCH(A181,'1 Pieces'!A:A,0)),""))</f>
        <v/>
      </c>
      <c r="C181" s="10" t="str">
        <f aca="false">IF(A181="","",SUMPRODUCT(('2 BOM lines'!$A$5:$A$612=A181)*('2 BOM lines'!$C$5:$C$612&lt;&gt;"MAKING")*IFERROR('2 BOM lines'!$F$5:$F$612,0)*IF('2 BOM lines'!$G$5:$G$612="CT",0.2,IF('2 BOM lines'!$G$5:$G$612="RATTI",0.1215,IF('2 BOM lines'!$G$5:$G$612="GM",1,0)))))</f>
        <v/>
      </c>
      <c r="D181" s="10" t="str">
        <f aca="false">IF(A181="","",ROUND(B181-C181,3))</f>
        <v/>
      </c>
      <c r="E181" s="12" t="str">
        <f aca="false">IF(A181="","",IF(ABS(D181)&lt;=0.05,"OK","CHECK THIS PIECE"))</f>
        <v/>
      </c>
    </row>
    <row r="182" customFormat="false" ht="15" hidden="false" customHeight="false" outlineLevel="0" collapsed="false">
      <c r="A182" s="10" t="str">
        <f aca="false">IF('1 Pieces'!A183="","",'1 Pieces'!A183)</f>
        <v/>
      </c>
      <c r="B182" s="10" t="str">
        <f aca="false">IF(A182="","",IFERROR(INDEX('1 Pieces'!H:H,MATCH(A182,'1 Pieces'!A:A,0)),""))</f>
        <v/>
      </c>
      <c r="C182" s="10" t="str">
        <f aca="false">IF(A182="","",SUMPRODUCT(('2 BOM lines'!$A$5:$A$612=A182)*('2 BOM lines'!$C$5:$C$612&lt;&gt;"MAKING")*IFERROR('2 BOM lines'!$F$5:$F$612,0)*IF('2 BOM lines'!$G$5:$G$612="CT",0.2,IF('2 BOM lines'!$G$5:$G$612="RATTI",0.1215,IF('2 BOM lines'!$G$5:$G$612="GM",1,0)))))</f>
        <v/>
      </c>
      <c r="D182" s="10" t="str">
        <f aca="false">IF(A182="","",ROUND(B182-C182,3))</f>
        <v/>
      </c>
      <c r="E182" s="12" t="str">
        <f aca="false">IF(A182="","",IF(ABS(D182)&lt;=0.05,"OK","CHECK THIS PIECE"))</f>
        <v/>
      </c>
    </row>
    <row r="183" customFormat="false" ht="15" hidden="false" customHeight="false" outlineLevel="0" collapsed="false">
      <c r="A183" s="10" t="str">
        <f aca="false">IF('1 Pieces'!A184="","",'1 Pieces'!A184)</f>
        <v/>
      </c>
      <c r="B183" s="10" t="str">
        <f aca="false">IF(A183="","",IFERROR(INDEX('1 Pieces'!H:H,MATCH(A183,'1 Pieces'!A:A,0)),""))</f>
        <v/>
      </c>
      <c r="C183" s="10" t="str">
        <f aca="false">IF(A183="","",SUMPRODUCT(('2 BOM lines'!$A$5:$A$612=A183)*('2 BOM lines'!$C$5:$C$612&lt;&gt;"MAKING")*IFERROR('2 BOM lines'!$F$5:$F$612,0)*IF('2 BOM lines'!$G$5:$G$612="CT",0.2,IF('2 BOM lines'!$G$5:$G$612="RATTI",0.1215,IF('2 BOM lines'!$G$5:$G$612="GM",1,0)))))</f>
        <v/>
      </c>
      <c r="D183" s="10" t="str">
        <f aca="false">IF(A183="","",ROUND(B183-C183,3))</f>
        <v/>
      </c>
      <c r="E183" s="12" t="str">
        <f aca="false">IF(A183="","",IF(ABS(D183)&lt;=0.05,"OK","CHECK THIS PIECE"))</f>
        <v/>
      </c>
    </row>
    <row r="184" customFormat="false" ht="15" hidden="false" customHeight="false" outlineLevel="0" collapsed="false">
      <c r="A184" s="10" t="str">
        <f aca="false">IF('1 Pieces'!A185="","",'1 Pieces'!A185)</f>
        <v/>
      </c>
      <c r="B184" s="10" t="str">
        <f aca="false">IF(A184="","",IFERROR(INDEX('1 Pieces'!H:H,MATCH(A184,'1 Pieces'!A:A,0)),""))</f>
        <v/>
      </c>
      <c r="C184" s="10" t="str">
        <f aca="false">IF(A184="","",SUMPRODUCT(('2 BOM lines'!$A$5:$A$612=A184)*('2 BOM lines'!$C$5:$C$612&lt;&gt;"MAKING")*IFERROR('2 BOM lines'!$F$5:$F$612,0)*IF('2 BOM lines'!$G$5:$G$612="CT",0.2,IF('2 BOM lines'!$G$5:$G$612="RATTI",0.1215,IF('2 BOM lines'!$G$5:$G$612="GM",1,0)))))</f>
        <v/>
      </c>
      <c r="D184" s="10" t="str">
        <f aca="false">IF(A184="","",ROUND(B184-C184,3))</f>
        <v/>
      </c>
      <c r="E184" s="12" t="str">
        <f aca="false">IF(A184="","",IF(ABS(D184)&lt;=0.05,"OK","CHECK THIS PIECE"))</f>
        <v/>
      </c>
    </row>
    <row r="185" customFormat="false" ht="15" hidden="false" customHeight="false" outlineLevel="0" collapsed="false">
      <c r="A185" s="10" t="str">
        <f aca="false">IF('1 Pieces'!A186="","",'1 Pieces'!A186)</f>
        <v/>
      </c>
      <c r="B185" s="10" t="str">
        <f aca="false">IF(A185="","",IFERROR(INDEX('1 Pieces'!H:H,MATCH(A185,'1 Pieces'!A:A,0)),""))</f>
        <v/>
      </c>
      <c r="C185" s="10" t="str">
        <f aca="false">IF(A185="","",SUMPRODUCT(('2 BOM lines'!$A$5:$A$612=A185)*('2 BOM lines'!$C$5:$C$612&lt;&gt;"MAKING")*IFERROR('2 BOM lines'!$F$5:$F$612,0)*IF('2 BOM lines'!$G$5:$G$612="CT",0.2,IF('2 BOM lines'!$G$5:$G$612="RATTI",0.1215,IF('2 BOM lines'!$G$5:$G$612="GM",1,0)))))</f>
        <v/>
      </c>
      <c r="D185" s="10" t="str">
        <f aca="false">IF(A185="","",ROUND(B185-C185,3))</f>
        <v/>
      </c>
      <c r="E185" s="12" t="str">
        <f aca="false">IF(A185="","",IF(ABS(D185)&lt;=0.05,"OK","CHECK THIS PIECE"))</f>
        <v/>
      </c>
    </row>
    <row r="186" customFormat="false" ht="15" hidden="false" customHeight="false" outlineLevel="0" collapsed="false">
      <c r="A186" s="10" t="str">
        <f aca="false">IF('1 Pieces'!A187="","",'1 Pieces'!A187)</f>
        <v/>
      </c>
      <c r="B186" s="10" t="str">
        <f aca="false">IF(A186="","",IFERROR(INDEX('1 Pieces'!H:H,MATCH(A186,'1 Pieces'!A:A,0)),""))</f>
        <v/>
      </c>
      <c r="C186" s="10" t="str">
        <f aca="false">IF(A186="","",SUMPRODUCT(('2 BOM lines'!$A$5:$A$612=A186)*('2 BOM lines'!$C$5:$C$612&lt;&gt;"MAKING")*IFERROR('2 BOM lines'!$F$5:$F$612,0)*IF('2 BOM lines'!$G$5:$G$612="CT",0.2,IF('2 BOM lines'!$G$5:$G$612="RATTI",0.1215,IF('2 BOM lines'!$G$5:$G$612="GM",1,0)))))</f>
        <v/>
      </c>
      <c r="D186" s="10" t="str">
        <f aca="false">IF(A186="","",ROUND(B186-C186,3))</f>
        <v/>
      </c>
      <c r="E186" s="12" t="str">
        <f aca="false">IF(A186="","",IF(ABS(D186)&lt;=0.05,"OK","CHECK THIS PIECE"))</f>
        <v/>
      </c>
    </row>
    <row r="187" customFormat="false" ht="15" hidden="false" customHeight="false" outlineLevel="0" collapsed="false">
      <c r="A187" s="10" t="str">
        <f aca="false">IF('1 Pieces'!A188="","",'1 Pieces'!A188)</f>
        <v/>
      </c>
      <c r="B187" s="10" t="str">
        <f aca="false">IF(A187="","",IFERROR(INDEX('1 Pieces'!H:H,MATCH(A187,'1 Pieces'!A:A,0)),""))</f>
        <v/>
      </c>
      <c r="C187" s="10" t="str">
        <f aca="false">IF(A187="","",SUMPRODUCT(('2 BOM lines'!$A$5:$A$612=A187)*('2 BOM lines'!$C$5:$C$612&lt;&gt;"MAKING")*IFERROR('2 BOM lines'!$F$5:$F$612,0)*IF('2 BOM lines'!$G$5:$G$612="CT",0.2,IF('2 BOM lines'!$G$5:$G$612="RATTI",0.1215,IF('2 BOM lines'!$G$5:$G$612="GM",1,0)))))</f>
        <v/>
      </c>
      <c r="D187" s="10" t="str">
        <f aca="false">IF(A187="","",ROUND(B187-C187,3))</f>
        <v/>
      </c>
      <c r="E187" s="12" t="str">
        <f aca="false">IF(A187="","",IF(ABS(D187)&lt;=0.05,"OK","CHECK THIS PIECE"))</f>
        <v/>
      </c>
    </row>
    <row r="188" customFormat="false" ht="15" hidden="false" customHeight="false" outlineLevel="0" collapsed="false">
      <c r="A188" s="10" t="str">
        <f aca="false">IF('1 Pieces'!A189="","",'1 Pieces'!A189)</f>
        <v/>
      </c>
      <c r="B188" s="10" t="str">
        <f aca="false">IF(A188="","",IFERROR(INDEX('1 Pieces'!H:H,MATCH(A188,'1 Pieces'!A:A,0)),""))</f>
        <v/>
      </c>
      <c r="C188" s="10" t="str">
        <f aca="false">IF(A188="","",SUMPRODUCT(('2 BOM lines'!$A$5:$A$612=A188)*('2 BOM lines'!$C$5:$C$612&lt;&gt;"MAKING")*IFERROR('2 BOM lines'!$F$5:$F$612,0)*IF('2 BOM lines'!$G$5:$G$612="CT",0.2,IF('2 BOM lines'!$G$5:$G$612="RATTI",0.1215,IF('2 BOM lines'!$G$5:$G$612="GM",1,0)))))</f>
        <v/>
      </c>
      <c r="D188" s="10" t="str">
        <f aca="false">IF(A188="","",ROUND(B188-C188,3))</f>
        <v/>
      </c>
      <c r="E188" s="12" t="str">
        <f aca="false">IF(A188="","",IF(ABS(D188)&lt;=0.05,"OK","CHECK THIS PIECE"))</f>
        <v/>
      </c>
    </row>
    <row r="189" customFormat="false" ht="15" hidden="false" customHeight="false" outlineLevel="0" collapsed="false">
      <c r="A189" s="10" t="str">
        <f aca="false">IF('1 Pieces'!A190="","",'1 Pieces'!A190)</f>
        <v/>
      </c>
      <c r="B189" s="10" t="str">
        <f aca="false">IF(A189="","",IFERROR(INDEX('1 Pieces'!H:H,MATCH(A189,'1 Pieces'!A:A,0)),""))</f>
        <v/>
      </c>
      <c r="C189" s="10" t="str">
        <f aca="false">IF(A189="","",SUMPRODUCT(('2 BOM lines'!$A$5:$A$612=A189)*('2 BOM lines'!$C$5:$C$612&lt;&gt;"MAKING")*IFERROR('2 BOM lines'!$F$5:$F$612,0)*IF('2 BOM lines'!$G$5:$G$612="CT",0.2,IF('2 BOM lines'!$G$5:$G$612="RATTI",0.1215,IF('2 BOM lines'!$G$5:$G$612="GM",1,0)))))</f>
        <v/>
      </c>
      <c r="D189" s="10" t="str">
        <f aca="false">IF(A189="","",ROUND(B189-C189,3))</f>
        <v/>
      </c>
      <c r="E189" s="12" t="str">
        <f aca="false">IF(A189="","",IF(ABS(D189)&lt;=0.05,"OK","CHECK THIS PIECE"))</f>
        <v/>
      </c>
    </row>
    <row r="190" customFormat="false" ht="15" hidden="false" customHeight="false" outlineLevel="0" collapsed="false">
      <c r="A190" s="10" t="str">
        <f aca="false">IF('1 Pieces'!A191="","",'1 Pieces'!A191)</f>
        <v/>
      </c>
      <c r="B190" s="10" t="str">
        <f aca="false">IF(A190="","",IFERROR(INDEX('1 Pieces'!H:H,MATCH(A190,'1 Pieces'!A:A,0)),""))</f>
        <v/>
      </c>
      <c r="C190" s="10" t="str">
        <f aca="false">IF(A190="","",SUMPRODUCT(('2 BOM lines'!$A$5:$A$612=A190)*('2 BOM lines'!$C$5:$C$612&lt;&gt;"MAKING")*IFERROR('2 BOM lines'!$F$5:$F$612,0)*IF('2 BOM lines'!$G$5:$G$612="CT",0.2,IF('2 BOM lines'!$G$5:$G$612="RATTI",0.1215,IF('2 BOM lines'!$G$5:$G$612="GM",1,0)))))</f>
        <v/>
      </c>
      <c r="D190" s="10" t="str">
        <f aca="false">IF(A190="","",ROUND(B190-C190,3))</f>
        <v/>
      </c>
      <c r="E190" s="12" t="str">
        <f aca="false">IF(A190="","",IF(ABS(D190)&lt;=0.05,"OK","CHECK THIS PIECE"))</f>
        <v/>
      </c>
    </row>
    <row r="191" customFormat="false" ht="15" hidden="false" customHeight="false" outlineLevel="0" collapsed="false">
      <c r="A191" s="10" t="str">
        <f aca="false">IF('1 Pieces'!A192="","",'1 Pieces'!A192)</f>
        <v/>
      </c>
      <c r="B191" s="10" t="str">
        <f aca="false">IF(A191="","",IFERROR(INDEX('1 Pieces'!H:H,MATCH(A191,'1 Pieces'!A:A,0)),""))</f>
        <v/>
      </c>
      <c r="C191" s="10" t="str">
        <f aca="false">IF(A191="","",SUMPRODUCT(('2 BOM lines'!$A$5:$A$612=A191)*('2 BOM lines'!$C$5:$C$612&lt;&gt;"MAKING")*IFERROR('2 BOM lines'!$F$5:$F$612,0)*IF('2 BOM lines'!$G$5:$G$612="CT",0.2,IF('2 BOM lines'!$G$5:$G$612="RATTI",0.1215,IF('2 BOM lines'!$G$5:$G$612="GM",1,0)))))</f>
        <v/>
      </c>
      <c r="D191" s="10" t="str">
        <f aca="false">IF(A191="","",ROUND(B191-C191,3))</f>
        <v/>
      </c>
      <c r="E191" s="12" t="str">
        <f aca="false">IF(A191="","",IF(ABS(D191)&lt;=0.05,"OK","CHECK THIS PIECE"))</f>
        <v/>
      </c>
    </row>
    <row r="192" customFormat="false" ht="15" hidden="false" customHeight="false" outlineLevel="0" collapsed="false">
      <c r="A192" s="10" t="str">
        <f aca="false">IF('1 Pieces'!A193="","",'1 Pieces'!A193)</f>
        <v/>
      </c>
      <c r="B192" s="10" t="str">
        <f aca="false">IF(A192="","",IFERROR(INDEX('1 Pieces'!H:H,MATCH(A192,'1 Pieces'!A:A,0)),""))</f>
        <v/>
      </c>
      <c r="C192" s="10" t="str">
        <f aca="false">IF(A192="","",SUMPRODUCT(('2 BOM lines'!$A$5:$A$612=A192)*('2 BOM lines'!$C$5:$C$612&lt;&gt;"MAKING")*IFERROR('2 BOM lines'!$F$5:$F$612,0)*IF('2 BOM lines'!$G$5:$G$612="CT",0.2,IF('2 BOM lines'!$G$5:$G$612="RATTI",0.1215,IF('2 BOM lines'!$G$5:$G$612="GM",1,0)))))</f>
        <v/>
      </c>
      <c r="D192" s="10" t="str">
        <f aca="false">IF(A192="","",ROUND(B192-C192,3))</f>
        <v/>
      </c>
      <c r="E192" s="12" t="str">
        <f aca="false">IF(A192="","",IF(ABS(D192)&lt;=0.05,"OK","CHECK THIS PIECE"))</f>
        <v/>
      </c>
    </row>
    <row r="193" customFormat="false" ht="15" hidden="false" customHeight="false" outlineLevel="0" collapsed="false">
      <c r="A193" s="10" t="str">
        <f aca="false">IF('1 Pieces'!A194="","",'1 Pieces'!A194)</f>
        <v/>
      </c>
      <c r="B193" s="10" t="str">
        <f aca="false">IF(A193="","",IFERROR(INDEX('1 Pieces'!H:H,MATCH(A193,'1 Pieces'!A:A,0)),""))</f>
        <v/>
      </c>
      <c r="C193" s="10" t="str">
        <f aca="false">IF(A193="","",SUMPRODUCT(('2 BOM lines'!$A$5:$A$612=A193)*('2 BOM lines'!$C$5:$C$612&lt;&gt;"MAKING")*IFERROR('2 BOM lines'!$F$5:$F$612,0)*IF('2 BOM lines'!$G$5:$G$612="CT",0.2,IF('2 BOM lines'!$G$5:$G$612="RATTI",0.1215,IF('2 BOM lines'!$G$5:$G$612="GM",1,0)))))</f>
        <v/>
      </c>
      <c r="D193" s="10" t="str">
        <f aca="false">IF(A193="","",ROUND(B193-C193,3))</f>
        <v/>
      </c>
      <c r="E193" s="12" t="str">
        <f aca="false">IF(A193="","",IF(ABS(D193)&lt;=0.05,"OK","CHECK THIS PIECE"))</f>
        <v/>
      </c>
    </row>
    <row r="194" customFormat="false" ht="15" hidden="false" customHeight="false" outlineLevel="0" collapsed="false">
      <c r="A194" s="10" t="str">
        <f aca="false">IF('1 Pieces'!A195="","",'1 Pieces'!A195)</f>
        <v/>
      </c>
      <c r="B194" s="10" t="str">
        <f aca="false">IF(A194="","",IFERROR(INDEX('1 Pieces'!H:H,MATCH(A194,'1 Pieces'!A:A,0)),""))</f>
        <v/>
      </c>
      <c r="C194" s="10" t="str">
        <f aca="false">IF(A194="","",SUMPRODUCT(('2 BOM lines'!$A$5:$A$612=A194)*('2 BOM lines'!$C$5:$C$612&lt;&gt;"MAKING")*IFERROR('2 BOM lines'!$F$5:$F$612,0)*IF('2 BOM lines'!$G$5:$G$612="CT",0.2,IF('2 BOM lines'!$G$5:$G$612="RATTI",0.1215,IF('2 BOM lines'!$G$5:$G$612="GM",1,0)))))</f>
        <v/>
      </c>
      <c r="D194" s="10" t="str">
        <f aca="false">IF(A194="","",ROUND(B194-C194,3))</f>
        <v/>
      </c>
      <c r="E194" s="12" t="str">
        <f aca="false">IF(A194="","",IF(ABS(D194)&lt;=0.05,"OK","CHECK THIS PIECE"))</f>
        <v/>
      </c>
    </row>
    <row r="195" customFormat="false" ht="15" hidden="false" customHeight="false" outlineLevel="0" collapsed="false">
      <c r="A195" s="10" t="str">
        <f aca="false">IF('1 Pieces'!A196="","",'1 Pieces'!A196)</f>
        <v/>
      </c>
      <c r="B195" s="10" t="str">
        <f aca="false">IF(A195="","",IFERROR(INDEX('1 Pieces'!H:H,MATCH(A195,'1 Pieces'!A:A,0)),""))</f>
        <v/>
      </c>
      <c r="C195" s="10" t="str">
        <f aca="false">IF(A195="","",SUMPRODUCT(('2 BOM lines'!$A$5:$A$612=A195)*('2 BOM lines'!$C$5:$C$612&lt;&gt;"MAKING")*IFERROR('2 BOM lines'!$F$5:$F$612,0)*IF('2 BOM lines'!$G$5:$G$612="CT",0.2,IF('2 BOM lines'!$G$5:$G$612="RATTI",0.1215,IF('2 BOM lines'!$G$5:$G$612="GM",1,0)))))</f>
        <v/>
      </c>
      <c r="D195" s="10" t="str">
        <f aca="false">IF(A195="","",ROUND(B195-C195,3))</f>
        <v/>
      </c>
      <c r="E195" s="12" t="str">
        <f aca="false">IF(A195="","",IF(ABS(D195)&lt;=0.05,"OK","CHECK THIS PIECE"))</f>
        <v/>
      </c>
    </row>
    <row r="196" customFormat="false" ht="15" hidden="false" customHeight="false" outlineLevel="0" collapsed="false">
      <c r="A196" s="10" t="str">
        <f aca="false">IF('1 Pieces'!A197="","",'1 Pieces'!A197)</f>
        <v/>
      </c>
      <c r="B196" s="10" t="str">
        <f aca="false">IF(A196="","",IFERROR(INDEX('1 Pieces'!H:H,MATCH(A196,'1 Pieces'!A:A,0)),""))</f>
        <v/>
      </c>
      <c r="C196" s="10" t="str">
        <f aca="false">IF(A196="","",SUMPRODUCT(('2 BOM lines'!$A$5:$A$612=A196)*('2 BOM lines'!$C$5:$C$612&lt;&gt;"MAKING")*IFERROR('2 BOM lines'!$F$5:$F$612,0)*IF('2 BOM lines'!$G$5:$G$612="CT",0.2,IF('2 BOM lines'!$G$5:$G$612="RATTI",0.1215,IF('2 BOM lines'!$G$5:$G$612="GM",1,0)))))</f>
        <v/>
      </c>
      <c r="D196" s="10" t="str">
        <f aca="false">IF(A196="","",ROUND(B196-C196,3))</f>
        <v/>
      </c>
      <c r="E196" s="12" t="str">
        <f aca="false">IF(A196="","",IF(ABS(D196)&lt;=0.05,"OK","CHECK THIS PIECE"))</f>
        <v/>
      </c>
    </row>
    <row r="197" customFormat="false" ht="15" hidden="false" customHeight="false" outlineLevel="0" collapsed="false">
      <c r="A197" s="10" t="str">
        <f aca="false">IF('1 Pieces'!A198="","",'1 Pieces'!A198)</f>
        <v/>
      </c>
      <c r="B197" s="10" t="str">
        <f aca="false">IF(A197="","",IFERROR(INDEX('1 Pieces'!H:H,MATCH(A197,'1 Pieces'!A:A,0)),""))</f>
        <v/>
      </c>
      <c r="C197" s="10" t="str">
        <f aca="false">IF(A197="","",SUMPRODUCT(('2 BOM lines'!$A$5:$A$612=A197)*('2 BOM lines'!$C$5:$C$612&lt;&gt;"MAKING")*IFERROR('2 BOM lines'!$F$5:$F$612,0)*IF('2 BOM lines'!$G$5:$G$612="CT",0.2,IF('2 BOM lines'!$G$5:$G$612="RATTI",0.1215,IF('2 BOM lines'!$G$5:$G$612="GM",1,0)))))</f>
        <v/>
      </c>
      <c r="D197" s="10" t="str">
        <f aca="false">IF(A197="","",ROUND(B197-C197,3))</f>
        <v/>
      </c>
      <c r="E197" s="12" t="str">
        <f aca="false">IF(A197="","",IF(ABS(D197)&lt;=0.05,"OK","CHECK THIS PIECE"))</f>
        <v/>
      </c>
    </row>
    <row r="198" customFormat="false" ht="15" hidden="false" customHeight="false" outlineLevel="0" collapsed="false">
      <c r="A198" s="10" t="str">
        <f aca="false">IF('1 Pieces'!A199="","",'1 Pieces'!A199)</f>
        <v/>
      </c>
      <c r="B198" s="10" t="str">
        <f aca="false">IF(A198="","",IFERROR(INDEX('1 Pieces'!H:H,MATCH(A198,'1 Pieces'!A:A,0)),""))</f>
        <v/>
      </c>
      <c r="C198" s="10" t="str">
        <f aca="false">IF(A198="","",SUMPRODUCT(('2 BOM lines'!$A$5:$A$612=A198)*('2 BOM lines'!$C$5:$C$612&lt;&gt;"MAKING")*IFERROR('2 BOM lines'!$F$5:$F$612,0)*IF('2 BOM lines'!$G$5:$G$612="CT",0.2,IF('2 BOM lines'!$G$5:$G$612="RATTI",0.1215,IF('2 BOM lines'!$G$5:$G$612="GM",1,0)))))</f>
        <v/>
      </c>
      <c r="D198" s="10" t="str">
        <f aca="false">IF(A198="","",ROUND(B198-C198,3))</f>
        <v/>
      </c>
      <c r="E198" s="12" t="str">
        <f aca="false">IF(A198="","",IF(ABS(D198)&lt;=0.05,"OK","CHECK THIS PIECE"))</f>
        <v/>
      </c>
    </row>
    <row r="199" customFormat="false" ht="15" hidden="false" customHeight="false" outlineLevel="0" collapsed="false">
      <c r="A199" s="10" t="str">
        <f aca="false">IF('1 Pieces'!A200="","",'1 Pieces'!A200)</f>
        <v/>
      </c>
      <c r="B199" s="10" t="str">
        <f aca="false">IF(A199="","",IFERROR(INDEX('1 Pieces'!H:H,MATCH(A199,'1 Pieces'!A:A,0)),""))</f>
        <v/>
      </c>
      <c r="C199" s="10" t="str">
        <f aca="false">IF(A199="","",SUMPRODUCT(('2 BOM lines'!$A$5:$A$612=A199)*('2 BOM lines'!$C$5:$C$612&lt;&gt;"MAKING")*IFERROR('2 BOM lines'!$F$5:$F$612,0)*IF('2 BOM lines'!$G$5:$G$612="CT",0.2,IF('2 BOM lines'!$G$5:$G$612="RATTI",0.1215,IF('2 BOM lines'!$G$5:$G$612="GM",1,0)))))</f>
        <v/>
      </c>
      <c r="D199" s="10" t="str">
        <f aca="false">IF(A199="","",ROUND(B199-C199,3))</f>
        <v/>
      </c>
      <c r="E199" s="12" t="str">
        <f aca="false">IF(A199="","",IF(ABS(D199)&lt;=0.05,"OK","CHECK THIS PIECE"))</f>
        <v/>
      </c>
    </row>
    <row r="200" customFormat="false" ht="15" hidden="false" customHeight="false" outlineLevel="0" collapsed="false">
      <c r="A200" s="10" t="str">
        <f aca="false">IF('1 Pieces'!A201="","",'1 Pieces'!A201)</f>
        <v/>
      </c>
      <c r="B200" s="10" t="str">
        <f aca="false">IF(A200="","",IFERROR(INDEX('1 Pieces'!H:H,MATCH(A200,'1 Pieces'!A:A,0)),""))</f>
        <v/>
      </c>
      <c r="C200" s="10" t="str">
        <f aca="false">IF(A200="","",SUMPRODUCT(('2 BOM lines'!$A$5:$A$612=A200)*('2 BOM lines'!$C$5:$C$612&lt;&gt;"MAKING")*IFERROR('2 BOM lines'!$F$5:$F$612,0)*IF('2 BOM lines'!$G$5:$G$612="CT",0.2,IF('2 BOM lines'!$G$5:$G$612="RATTI",0.1215,IF('2 BOM lines'!$G$5:$G$612="GM",1,0)))))</f>
        <v/>
      </c>
      <c r="D200" s="10" t="str">
        <f aca="false">IF(A200="","",ROUND(B200-C200,3))</f>
        <v/>
      </c>
      <c r="E200" s="12" t="str">
        <f aca="false">IF(A200="","",IF(ABS(D200)&lt;=0.05,"OK","CHECK THIS PIECE"))</f>
        <v/>
      </c>
    </row>
    <row r="201" customFormat="false" ht="15" hidden="false" customHeight="false" outlineLevel="0" collapsed="false">
      <c r="A201" s="10" t="str">
        <f aca="false">IF('1 Pieces'!A202="","",'1 Pieces'!A202)</f>
        <v/>
      </c>
      <c r="B201" s="10" t="str">
        <f aca="false">IF(A201="","",IFERROR(INDEX('1 Pieces'!H:H,MATCH(A201,'1 Pieces'!A:A,0)),""))</f>
        <v/>
      </c>
      <c r="C201" s="10" t="str">
        <f aca="false">IF(A201="","",SUMPRODUCT(('2 BOM lines'!$A$5:$A$612=A201)*('2 BOM lines'!$C$5:$C$612&lt;&gt;"MAKING")*IFERROR('2 BOM lines'!$F$5:$F$612,0)*IF('2 BOM lines'!$G$5:$G$612="CT",0.2,IF('2 BOM lines'!$G$5:$G$612="RATTI",0.1215,IF('2 BOM lines'!$G$5:$G$612="GM",1,0)))))</f>
        <v/>
      </c>
      <c r="D201" s="10" t="str">
        <f aca="false">IF(A201="","",ROUND(B201-C201,3))</f>
        <v/>
      </c>
      <c r="E201" s="12" t="str">
        <f aca="false">IF(A201="","",IF(ABS(D201)&lt;=0.05,"OK","CHECK THIS PIECE"))</f>
        <v/>
      </c>
    </row>
    <row r="202" customFormat="false" ht="15" hidden="false" customHeight="false" outlineLevel="0" collapsed="false">
      <c r="A202" s="10" t="str">
        <f aca="false">IF('1 Pieces'!A203="","",'1 Pieces'!A203)</f>
        <v/>
      </c>
      <c r="B202" s="10" t="str">
        <f aca="false">IF(A202="","",IFERROR(INDEX('1 Pieces'!H:H,MATCH(A202,'1 Pieces'!A:A,0)),""))</f>
        <v/>
      </c>
      <c r="C202" s="10" t="str">
        <f aca="false">IF(A202="","",SUMPRODUCT(('2 BOM lines'!$A$5:$A$612=A202)*('2 BOM lines'!$C$5:$C$612&lt;&gt;"MAKING")*IFERROR('2 BOM lines'!$F$5:$F$612,0)*IF('2 BOM lines'!$G$5:$G$612="CT",0.2,IF('2 BOM lines'!$G$5:$G$612="RATTI",0.1215,IF('2 BOM lines'!$G$5:$G$612="GM",1,0)))))</f>
        <v/>
      </c>
      <c r="D202" s="10" t="str">
        <f aca="false">IF(A202="","",ROUND(B202-C202,3))</f>
        <v/>
      </c>
      <c r="E202" s="12" t="str">
        <f aca="false">IF(A202="","",IF(ABS(D202)&lt;=0.05,"OK","CHECK THIS PIECE"))</f>
        <v/>
      </c>
    </row>
    <row r="203" customFormat="false" ht="15" hidden="false" customHeight="false" outlineLevel="0" collapsed="false">
      <c r="A203" s="10" t="str">
        <f aca="false">IF('1 Pieces'!A204="","",'1 Pieces'!A204)</f>
        <v/>
      </c>
      <c r="B203" s="10" t="str">
        <f aca="false">IF(A203="","",IFERROR(INDEX('1 Pieces'!H:H,MATCH(A203,'1 Pieces'!A:A,0)),""))</f>
        <v/>
      </c>
      <c r="C203" s="10" t="str">
        <f aca="false">IF(A203="","",SUMPRODUCT(('2 BOM lines'!$A$5:$A$612=A203)*('2 BOM lines'!$C$5:$C$612&lt;&gt;"MAKING")*IFERROR('2 BOM lines'!$F$5:$F$612,0)*IF('2 BOM lines'!$G$5:$G$612="CT",0.2,IF('2 BOM lines'!$G$5:$G$612="RATTI",0.1215,IF('2 BOM lines'!$G$5:$G$612="GM",1,0)))))</f>
        <v/>
      </c>
      <c r="D203" s="10" t="str">
        <f aca="false">IF(A203="","",ROUND(B203-C203,3))</f>
        <v/>
      </c>
      <c r="E203" s="12" t="str">
        <f aca="false">IF(A203="","",IF(ABS(D203)&lt;=0.05,"OK","CHECK THIS PIECE"))</f>
        <v/>
      </c>
    </row>
    <row r="204" customFormat="false" ht="15" hidden="false" customHeight="false" outlineLevel="0" collapsed="false">
      <c r="A204" s="10" t="str">
        <f aca="false">IF('1 Pieces'!A205="","",'1 Pieces'!A205)</f>
        <v/>
      </c>
      <c r="B204" s="10" t="str">
        <f aca="false">IF(A204="","",IFERROR(INDEX('1 Pieces'!H:H,MATCH(A204,'1 Pieces'!A:A,0)),""))</f>
        <v/>
      </c>
      <c r="C204" s="10" t="str">
        <f aca="false">IF(A204="","",SUMPRODUCT(('2 BOM lines'!$A$5:$A$612=A204)*('2 BOM lines'!$C$5:$C$612&lt;&gt;"MAKING")*IFERROR('2 BOM lines'!$F$5:$F$612,0)*IF('2 BOM lines'!$G$5:$G$612="CT",0.2,IF('2 BOM lines'!$G$5:$G$612="RATTI",0.1215,IF('2 BOM lines'!$G$5:$G$612="GM",1,0)))))</f>
        <v/>
      </c>
      <c r="D204" s="10" t="str">
        <f aca="false">IF(A204="","",ROUND(B204-C204,3))</f>
        <v/>
      </c>
      <c r="E204" s="12" t="str">
        <f aca="false">IF(A204="","",IF(ABS(D204)&lt;=0.05,"OK","CHECK THIS PIECE"))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16.1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6" t="s">
        <v>121</v>
      </c>
    </row>
    <row r="4" customFormat="false" ht="15" hidden="false" customHeight="false" outlineLevel="0" collapsed="false">
      <c r="A4" s="11" t="s">
        <v>74</v>
      </c>
      <c r="B4" s="11" t="s">
        <v>122</v>
      </c>
      <c r="C4" s="11" t="s">
        <v>123</v>
      </c>
      <c r="D4" s="11" t="s">
        <v>124</v>
      </c>
    </row>
    <row r="5" customFormat="false" ht="15" hidden="false" customHeight="false" outlineLevel="0" collapsed="false">
      <c r="A5" s="8" t="s">
        <v>90</v>
      </c>
      <c r="B5" s="8" t="s">
        <v>96</v>
      </c>
      <c r="C5" s="8" t="s">
        <v>125</v>
      </c>
      <c r="D5" s="8" t="n">
        <v>1</v>
      </c>
    </row>
    <row r="6" customFormat="false" ht="15" hidden="false" customHeight="false" outlineLevel="0" collapsed="false">
      <c r="A6" s="8" t="s">
        <v>90</v>
      </c>
      <c r="B6" s="8" t="s">
        <v>126</v>
      </c>
      <c r="C6" s="8" t="s">
        <v>127</v>
      </c>
      <c r="D6" s="8" t="n">
        <v>2</v>
      </c>
    </row>
    <row r="7" customFormat="false" ht="15" hidden="false" customHeight="false" outlineLevel="0" collapsed="false">
      <c r="A7" s="8" t="s">
        <v>90</v>
      </c>
      <c r="B7" s="8" t="s">
        <v>128</v>
      </c>
      <c r="C7" s="8" t="s">
        <v>129</v>
      </c>
      <c r="D7" s="8" t="n">
        <v>3</v>
      </c>
    </row>
    <row r="8" customFormat="false" ht="15" hidden="false" customHeight="false" outlineLevel="0" collapsed="false">
      <c r="A8" s="9"/>
      <c r="B8" s="9"/>
      <c r="C8" s="9"/>
      <c r="D8" s="10"/>
    </row>
    <row r="9" customFormat="false" ht="15" hidden="false" customHeight="false" outlineLevel="0" collapsed="false">
      <c r="A9" s="9"/>
      <c r="B9" s="9"/>
      <c r="C9" s="9"/>
      <c r="D9" s="10"/>
    </row>
    <row r="10" customFormat="false" ht="15" hidden="false" customHeight="false" outlineLevel="0" collapsed="false">
      <c r="A10" s="9"/>
      <c r="B10" s="9"/>
      <c r="C10" s="9"/>
      <c r="D10" s="10"/>
    </row>
    <row r="11" customFormat="false" ht="15" hidden="false" customHeight="false" outlineLevel="0" collapsed="false">
      <c r="A11" s="9"/>
      <c r="B11" s="9"/>
      <c r="C11" s="9"/>
      <c r="D11" s="10"/>
    </row>
    <row r="12" customFormat="false" ht="15" hidden="false" customHeight="false" outlineLevel="0" collapsed="false">
      <c r="A12" s="9"/>
      <c r="B12" s="9"/>
      <c r="C12" s="9"/>
      <c r="D12" s="10"/>
    </row>
    <row r="13" customFormat="false" ht="15" hidden="false" customHeight="false" outlineLevel="0" collapsed="false">
      <c r="A13" s="9"/>
      <c r="B13" s="9"/>
      <c r="C13" s="9"/>
      <c r="D13" s="10"/>
    </row>
    <row r="14" customFormat="false" ht="15" hidden="false" customHeight="false" outlineLevel="0" collapsed="false">
      <c r="A14" s="9"/>
      <c r="B14" s="9"/>
      <c r="C14" s="9"/>
      <c r="D14" s="10"/>
    </row>
    <row r="15" customFormat="false" ht="15" hidden="false" customHeight="false" outlineLevel="0" collapsed="false">
      <c r="A15" s="9"/>
      <c r="B15" s="9"/>
      <c r="C15" s="9"/>
      <c r="D15" s="10"/>
    </row>
    <row r="16" customFormat="false" ht="15" hidden="false" customHeight="false" outlineLevel="0" collapsed="false">
      <c r="A16" s="9"/>
      <c r="B16" s="9"/>
      <c r="C16" s="9"/>
      <c r="D16" s="10"/>
    </row>
    <row r="17" customFormat="false" ht="15" hidden="false" customHeight="false" outlineLevel="0" collapsed="false">
      <c r="A17" s="9"/>
      <c r="B17" s="9"/>
      <c r="C17" s="9"/>
      <c r="D17" s="10"/>
    </row>
    <row r="18" customFormat="false" ht="15" hidden="false" customHeight="false" outlineLevel="0" collapsed="false">
      <c r="A18" s="9"/>
      <c r="B18" s="9"/>
      <c r="C18" s="9"/>
      <c r="D18" s="10"/>
    </row>
    <row r="19" customFormat="false" ht="15" hidden="false" customHeight="false" outlineLevel="0" collapsed="false">
      <c r="A19" s="9"/>
      <c r="B19" s="9"/>
      <c r="C19" s="9"/>
      <c r="D19" s="10"/>
    </row>
    <row r="20" customFormat="false" ht="15" hidden="false" customHeight="false" outlineLevel="0" collapsed="false">
      <c r="A20" s="9"/>
      <c r="B20" s="9"/>
      <c r="C20" s="9"/>
      <c r="D20" s="10"/>
    </row>
    <row r="21" customFormat="false" ht="15" hidden="false" customHeight="false" outlineLevel="0" collapsed="false">
      <c r="A21" s="9"/>
      <c r="B21" s="9"/>
      <c r="C21" s="9"/>
      <c r="D21" s="10"/>
    </row>
    <row r="22" customFormat="false" ht="15" hidden="false" customHeight="false" outlineLevel="0" collapsed="false">
      <c r="A22" s="9"/>
      <c r="B22" s="9"/>
      <c r="C22" s="9"/>
      <c r="D22" s="10"/>
    </row>
    <row r="23" customFormat="false" ht="15" hidden="false" customHeight="false" outlineLevel="0" collapsed="false">
      <c r="A23" s="9"/>
      <c r="B23" s="9"/>
      <c r="C23" s="9"/>
      <c r="D23" s="10"/>
    </row>
    <row r="24" customFormat="false" ht="15" hidden="false" customHeight="false" outlineLevel="0" collapsed="false">
      <c r="A24" s="9"/>
      <c r="B24" s="9"/>
      <c r="C24" s="9"/>
      <c r="D24" s="10"/>
    </row>
    <row r="25" customFormat="false" ht="15" hidden="false" customHeight="false" outlineLevel="0" collapsed="false">
      <c r="A25" s="9"/>
      <c r="B25" s="9"/>
      <c r="C25" s="9"/>
      <c r="D25" s="10"/>
    </row>
    <row r="26" customFormat="false" ht="15" hidden="false" customHeight="false" outlineLevel="0" collapsed="false">
      <c r="A26" s="9"/>
      <c r="B26" s="9"/>
      <c r="C26" s="9"/>
      <c r="D26" s="10"/>
    </row>
    <row r="27" customFormat="false" ht="15" hidden="false" customHeight="false" outlineLevel="0" collapsed="false">
      <c r="A27" s="9"/>
      <c r="B27" s="9"/>
      <c r="C27" s="9"/>
      <c r="D27" s="10"/>
    </row>
    <row r="28" customFormat="false" ht="15" hidden="false" customHeight="false" outlineLevel="0" collapsed="false">
      <c r="A28" s="9"/>
      <c r="B28" s="9"/>
      <c r="C28" s="9"/>
      <c r="D28" s="10"/>
    </row>
    <row r="29" customFormat="false" ht="15" hidden="false" customHeight="false" outlineLevel="0" collapsed="false">
      <c r="A29" s="9"/>
      <c r="B29" s="9"/>
      <c r="C29" s="9"/>
      <c r="D29" s="10"/>
    </row>
    <row r="30" customFormat="false" ht="15" hidden="false" customHeight="false" outlineLevel="0" collapsed="false">
      <c r="A30" s="9"/>
      <c r="B30" s="9"/>
      <c r="C30" s="9"/>
      <c r="D30" s="10"/>
    </row>
    <row r="31" customFormat="false" ht="15" hidden="false" customHeight="false" outlineLevel="0" collapsed="false">
      <c r="A31" s="9"/>
      <c r="B31" s="9"/>
      <c r="C31" s="9"/>
      <c r="D31" s="10"/>
    </row>
    <row r="32" customFormat="false" ht="15" hidden="false" customHeight="false" outlineLevel="0" collapsed="false">
      <c r="A32" s="9"/>
      <c r="B32" s="9"/>
      <c r="C32" s="9"/>
      <c r="D32" s="10"/>
    </row>
    <row r="33" customFormat="false" ht="15" hidden="false" customHeight="false" outlineLevel="0" collapsed="false">
      <c r="A33" s="9"/>
      <c r="B33" s="9"/>
      <c r="C33" s="9"/>
      <c r="D33" s="10"/>
    </row>
    <row r="34" customFormat="false" ht="15" hidden="false" customHeight="false" outlineLevel="0" collapsed="false">
      <c r="A34" s="9"/>
      <c r="B34" s="9"/>
      <c r="C34" s="9"/>
      <c r="D34" s="10"/>
    </row>
    <row r="35" customFormat="false" ht="15" hidden="false" customHeight="false" outlineLevel="0" collapsed="false">
      <c r="A35" s="9"/>
      <c r="B35" s="9"/>
      <c r="C35" s="9"/>
      <c r="D35" s="10"/>
    </row>
    <row r="36" customFormat="false" ht="15" hidden="false" customHeight="false" outlineLevel="0" collapsed="false">
      <c r="A36" s="9"/>
      <c r="B36" s="9"/>
      <c r="C36" s="9"/>
      <c r="D36" s="10"/>
    </row>
    <row r="37" customFormat="false" ht="15" hidden="false" customHeight="false" outlineLevel="0" collapsed="false">
      <c r="A37" s="9"/>
      <c r="B37" s="9"/>
      <c r="C37" s="9"/>
      <c r="D37" s="10"/>
    </row>
    <row r="38" customFormat="false" ht="15" hidden="false" customHeight="false" outlineLevel="0" collapsed="false">
      <c r="A38" s="9"/>
      <c r="B38" s="9"/>
      <c r="C38" s="9"/>
      <c r="D38" s="10"/>
    </row>
    <row r="39" customFormat="false" ht="15" hidden="false" customHeight="false" outlineLevel="0" collapsed="false">
      <c r="A39" s="9"/>
      <c r="B39" s="9"/>
      <c r="C39" s="9"/>
      <c r="D39" s="10"/>
    </row>
    <row r="40" customFormat="false" ht="15" hidden="false" customHeight="false" outlineLevel="0" collapsed="false">
      <c r="A40" s="9"/>
      <c r="B40" s="9"/>
      <c r="C40" s="9"/>
      <c r="D40" s="10"/>
    </row>
    <row r="41" customFormat="false" ht="15" hidden="false" customHeight="false" outlineLevel="0" collapsed="false">
      <c r="A41" s="9"/>
      <c r="B41" s="9"/>
      <c r="C41" s="9"/>
      <c r="D41" s="10"/>
    </row>
    <row r="42" customFormat="false" ht="15" hidden="false" customHeight="false" outlineLevel="0" collapsed="false">
      <c r="A42" s="9"/>
      <c r="B42" s="9"/>
      <c r="C42" s="9"/>
      <c r="D42" s="10"/>
    </row>
    <row r="43" customFormat="false" ht="15" hidden="false" customHeight="false" outlineLevel="0" collapsed="false">
      <c r="A43" s="9"/>
      <c r="B43" s="9"/>
      <c r="C43" s="9"/>
      <c r="D43" s="10"/>
    </row>
    <row r="44" customFormat="false" ht="15" hidden="false" customHeight="false" outlineLevel="0" collapsed="false">
      <c r="A44" s="9"/>
      <c r="B44" s="9"/>
      <c r="C44" s="9"/>
      <c r="D44" s="10"/>
    </row>
    <row r="45" customFormat="false" ht="15" hidden="false" customHeight="false" outlineLevel="0" collapsed="false">
      <c r="A45" s="9"/>
      <c r="B45" s="9"/>
      <c r="C45" s="9"/>
      <c r="D45" s="10"/>
    </row>
    <row r="46" customFormat="false" ht="15" hidden="false" customHeight="false" outlineLevel="0" collapsed="false">
      <c r="A46" s="9"/>
      <c r="B46" s="9"/>
      <c r="C46" s="9"/>
      <c r="D46" s="10"/>
    </row>
    <row r="47" customFormat="false" ht="15" hidden="false" customHeight="false" outlineLevel="0" collapsed="false">
      <c r="A47" s="9"/>
      <c r="B47" s="9"/>
      <c r="C47" s="9"/>
      <c r="D47" s="10"/>
    </row>
    <row r="48" customFormat="false" ht="15" hidden="false" customHeight="false" outlineLevel="0" collapsed="false">
      <c r="A48" s="9"/>
      <c r="B48" s="9"/>
      <c r="C48" s="9"/>
      <c r="D48" s="10"/>
    </row>
    <row r="49" customFormat="false" ht="15" hidden="false" customHeight="false" outlineLevel="0" collapsed="false">
      <c r="A49" s="9"/>
      <c r="B49" s="9"/>
      <c r="C49" s="9"/>
      <c r="D49" s="10"/>
    </row>
    <row r="50" customFormat="false" ht="15" hidden="false" customHeight="false" outlineLevel="0" collapsed="false">
      <c r="A50" s="9"/>
      <c r="B50" s="9"/>
      <c r="C50" s="9"/>
      <c r="D50" s="10"/>
    </row>
    <row r="51" customFormat="false" ht="15" hidden="false" customHeight="false" outlineLevel="0" collapsed="false">
      <c r="A51" s="9"/>
      <c r="B51" s="9"/>
      <c r="C51" s="9"/>
      <c r="D51" s="10"/>
    </row>
    <row r="52" customFormat="false" ht="15" hidden="false" customHeight="false" outlineLevel="0" collapsed="false">
      <c r="A52" s="9"/>
      <c r="B52" s="9"/>
      <c r="C52" s="9"/>
      <c r="D52" s="10"/>
    </row>
    <row r="53" customFormat="false" ht="15" hidden="false" customHeight="false" outlineLevel="0" collapsed="false">
      <c r="A53" s="9"/>
      <c r="B53" s="9"/>
      <c r="C53" s="9"/>
      <c r="D53" s="10"/>
    </row>
    <row r="54" customFormat="false" ht="15" hidden="false" customHeight="false" outlineLevel="0" collapsed="false">
      <c r="A54" s="9"/>
      <c r="B54" s="9"/>
      <c r="C54" s="9"/>
      <c r="D54" s="10"/>
    </row>
    <row r="55" customFormat="false" ht="15" hidden="false" customHeight="false" outlineLevel="0" collapsed="false">
      <c r="A55" s="9"/>
      <c r="B55" s="9"/>
      <c r="C55" s="9"/>
      <c r="D55" s="10"/>
    </row>
    <row r="56" customFormat="false" ht="15" hidden="false" customHeight="false" outlineLevel="0" collapsed="false">
      <c r="A56" s="9"/>
      <c r="B56" s="9"/>
      <c r="C56" s="9"/>
      <c r="D56" s="10"/>
    </row>
    <row r="57" customFormat="false" ht="15" hidden="false" customHeight="false" outlineLevel="0" collapsed="false">
      <c r="A57" s="9"/>
      <c r="B57" s="9"/>
      <c r="C57" s="9"/>
      <c r="D57" s="10"/>
    </row>
    <row r="58" customFormat="false" ht="15" hidden="false" customHeight="false" outlineLevel="0" collapsed="false">
      <c r="A58" s="9"/>
      <c r="B58" s="9"/>
      <c r="C58" s="9"/>
      <c r="D58" s="10"/>
    </row>
    <row r="59" customFormat="false" ht="15" hidden="false" customHeight="false" outlineLevel="0" collapsed="false">
      <c r="A59" s="9"/>
      <c r="B59" s="9"/>
      <c r="C59" s="9"/>
      <c r="D59" s="10"/>
    </row>
    <row r="60" customFormat="false" ht="15" hidden="false" customHeight="false" outlineLevel="0" collapsed="false">
      <c r="A60" s="9"/>
      <c r="B60" s="9"/>
      <c r="C60" s="9"/>
      <c r="D60" s="10"/>
    </row>
    <row r="61" customFormat="false" ht="15" hidden="false" customHeight="false" outlineLevel="0" collapsed="false">
      <c r="A61" s="9"/>
      <c r="B61" s="9"/>
      <c r="C61" s="9"/>
      <c r="D61" s="10"/>
    </row>
    <row r="62" customFormat="false" ht="15" hidden="false" customHeight="false" outlineLevel="0" collapsed="false">
      <c r="A62" s="9"/>
      <c r="B62" s="9"/>
      <c r="C62" s="9"/>
      <c r="D62" s="10"/>
    </row>
    <row r="63" customFormat="false" ht="15" hidden="false" customHeight="false" outlineLevel="0" collapsed="false">
      <c r="A63" s="9"/>
      <c r="B63" s="9"/>
      <c r="C63" s="9"/>
      <c r="D63" s="10"/>
    </row>
    <row r="64" customFormat="false" ht="15" hidden="false" customHeight="false" outlineLevel="0" collapsed="false">
      <c r="A64" s="9"/>
      <c r="B64" s="9"/>
      <c r="C64" s="9"/>
      <c r="D64" s="10"/>
    </row>
    <row r="65" customFormat="false" ht="15" hidden="false" customHeight="false" outlineLevel="0" collapsed="false">
      <c r="A65" s="9"/>
      <c r="B65" s="9"/>
      <c r="C65" s="9"/>
      <c r="D65" s="10"/>
    </row>
    <row r="66" customFormat="false" ht="15" hidden="false" customHeight="false" outlineLevel="0" collapsed="false">
      <c r="A66" s="9"/>
      <c r="B66" s="9"/>
      <c r="C66" s="9"/>
      <c r="D66" s="10"/>
    </row>
    <row r="67" customFormat="false" ht="15" hidden="false" customHeight="false" outlineLevel="0" collapsed="false">
      <c r="A67" s="9"/>
      <c r="B67" s="9"/>
      <c r="C67" s="9"/>
      <c r="D67" s="10"/>
    </row>
    <row r="68" customFormat="false" ht="15" hidden="false" customHeight="false" outlineLevel="0" collapsed="false">
      <c r="A68" s="9"/>
      <c r="B68" s="9"/>
      <c r="C68" s="9"/>
      <c r="D68" s="10"/>
    </row>
    <row r="69" customFormat="false" ht="15" hidden="false" customHeight="false" outlineLevel="0" collapsed="false">
      <c r="A69" s="9"/>
      <c r="B69" s="9"/>
      <c r="C69" s="9"/>
      <c r="D69" s="10"/>
    </row>
    <row r="70" customFormat="false" ht="15" hidden="false" customHeight="false" outlineLevel="0" collapsed="false">
      <c r="A70" s="9"/>
      <c r="B70" s="9"/>
      <c r="C70" s="9"/>
      <c r="D70" s="10"/>
    </row>
    <row r="71" customFormat="false" ht="15" hidden="false" customHeight="false" outlineLevel="0" collapsed="false">
      <c r="A71" s="9"/>
      <c r="B71" s="9"/>
      <c r="C71" s="9"/>
      <c r="D71" s="10"/>
    </row>
    <row r="72" customFormat="false" ht="15" hidden="false" customHeight="false" outlineLevel="0" collapsed="false">
      <c r="A72" s="9"/>
      <c r="B72" s="9"/>
      <c r="C72" s="9"/>
      <c r="D72" s="10"/>
    </row>
    <row r="73" customFormat="false" ht="15" hidden="false" customHeight="false" outlineLevel="0" collapsed="false">
      <c r="A73" s="9"/>
      <c r="B73" s="9"/>
      <c r="C73" s="9"/>
      <c r="D73" s="10"/>
    </row>
    <row r="74" customFormat="false" ht="15" hidden="false" customHeight="false" outlineLevel="0" collapsed="false">
      <c r="A74" s="9"/>
      <c r="B74" s="9"/>
      <c r="C74" s="9"/>
      <c r="D74" s="10"/>
    </row>
    <row r="75" customFormat="false" ht="15" hidden="false" customHeight="false" outlineLevel="0" collapsed="false">
      <c r="A75" s="9"/>
      <c r="B75" s="9"/>
      <c r="C75" s="9"/>
      <c r="D75" s="10"/>
    </row>
    <row r="76" customFormat="false" ht="15" hidden="false" customHeight="false" outlineLevel="0" collapsed="false">
      <c r="A76" s="9"/>
      <c r="B76" s="9"/>
      <c r="C76" s="9"/>
      <c r="D76" s="10"/>
    </row>
    <row r="77" customFormat="false" ht="15" hidden="false" customHeight="false" outlineLevel="0" collapsed="false">
      <c r="A77" s="9"/>
      <c r="B77" s="9"/>
      <c r="C77" s="9"/>
      <c r="D77" s="10"/>
    </row>
    <row r="78" customFormat="false" ht="15" hidden="false" customHeight="false" outlineLevel="0" collapsed="false">
      <c r="A78" s="9"/>
      <c r="B78" s="9"/>
      <c r="C78" s="9"/>
      <c r="D78" s="10"/>
    </row>
    <row r="79" customFormat="false" ht="15" hidden="false" customHeight="false" outlineLevel="0" collapsed="false">
      <c r="A79" s="9"/>
      <c r="B79" s="9"/>
      <c r="C79" s="9"/>
      <c r="D79" s="10"/>
    </row>
    <row r="80" customFormat="false" ht="15" hidden="false" customHeight="false" outlineLevel="0" collapsed="false">
      <c r="A80" s="9"/>
      <c r="B80" s="9"/>
      <c r="C80" s="9"/>
      <c r="D80" s="10"/>
    </row>
    <row r="81" customFormat="false" ht="15" hidden="false" customHeight="false" outlineLevel="0" collapsed="false">
      <c r="A81" s="9"/>
      <c r="B81" s="9"/>
      <c r="C81" s="9"/>
      <c r="D81" s="10"/>
    </row>
    <row r="82" customFormat="false" ht="15" hidden="false" customHeight="false" outlineLevel="0" collapsed="false">
      <c r="A82" s="9"/>
      <c r="B82" s="9"/>
      <c r="C82" s="9"/>
      <c r="D82" s="10"/>
    </row>
    <row r="83" customFormat="false" ht="15" hidden="false" customHeight="false" outlineLevel="0" collapsed="false">
      <c r="A83" s="9"/>
      <c r="B83" s="9"/>
      <c r="C83" s="9"/>
      <c r="D83" s="10"/>
    </row>
    <row r="84" customFormat="false" ht="15" hidden="false" customHeight="false" outlineLevel="0" collapsed="false">
      <c r="A84" s="9"/>
      <c r="B84" s="9"/>
      <c r="C84" s="9"/>
      <c r="D84" s="10"/>
    </row>
    <row r="85" customFormat="false" ht="15" hidden="false" customHeight="false" outlineLevel="0" collapsed="false">
      <c r="A85" s="9"/>
      <c r="B85" s="9"/>
      <c r="C85" s="9"/>
      <c r="D85" s="10"/>
    </row>
    <row r="86" customFormat="false" ht="15" hidden="false" customHeight="false" outlineLevel="0" collapsed="false">
      <c r="A86" s="9"/>
      <c r="B86" s="9"/>
      <c r="C86" s="9"/>
      <c r="D86" s="10"/>
    </row>
    <row r="87" customFormat="false" ht="15" hidden="false" customHeight="false" outlineLevel="0" collapsed="false">
      <c r="A87" s="9"/>
      <c r="B87" s="9"/>
      <c r="C87" s="9"/>
      <c r="D87" s="10"/>
    </row>
    <row r="88" customFormat="false" ht="15" hidden="false" customHeight="false" outlineLevel="0" collapsed="false">
      <c r="A88" s="9"/>
      <c r="B88" s="9"/>
      <c r="C88" s="9"/>
      <c r="D88" s="10"/>
    </row>
    <row r="89" customFormat="false" ht="15" hidden="false" customHeight="false" outlineLevel="0" collapsed="false">
      <c r="A89" s="9"/>
      <c r="B89" s="9"/>
      <c r="C89" s="9"/>
      <c r="D89" s="10"/>
    </row>
    <row r="90" customFormat="false" ht="15" hidden="false" customHeight="false" outlineLevel="0" collapsed="false">
      <c r="A90" s="9"/>
      <c r="B90" s="9"/>
      <c r="C90" s="9"/>
      <c r="D90" s="10"/>
    </row>
    <row r="91" customFormat="false" ht="15" hidden="false" customHeight="false" outlineLevel="0" collapsed="false">
      <c r="A91" s="9"/>
      <c r="B91" s="9"/>
      <c r="C91" s="9"/>
      <c r="D91" s="10"/>
    </row>
    <row r="92" customFormat="false" ht="15" hidden="false" customHeight="false" outlineLevel="0" collapsed="false">
      <c r="A92" s="9"/>
      <c r="B92" s="9"/>
      <c r="C92" s="9"/>
      <c r="D92" s="10"/>
    </row>
    <row r="93" customFormat="false" ht="15" hidden="false" customHeight="false" outlineLevel="0" collapsed="false">
      <c r="A93" s="9"/>
      <c r="B93" s="9"/>
      <c r="C93" s="9"/>
      <c r="D93" s="10"/>
    </row>
    <row r="94" customFormat="false" ht="15" hidden="false" customHeight="false" outlineLevel="0" collapsed="false">
      <c r="A94" s="9"/>
      <c r="B94" s="9"/>
      <c r="C94" s="9"/>
      <c r="D94" s="10"/>
    </row>
    <row r="95" customFormat="false" ht="15" hidden="false" customHeight="false" outlineLevel="0" collapsed="false">
      <c r="A95" s="9"/>
      <c r="B95" s="9"/>
      <c r="C95" s="9"/>
      <c r="D95" s="10"/>
    </row>
    <row r="96" customFormat="false" ht="15" hidden="false" customHeight="false" outlineLevel="0" collapsed="false">
      <c r="A96" s="9"/>
      <c r="B96" s="9"/>
      <c r="C96" s="9"/>
      <c r="D96" s="10"/>
    </row>
    <row r="97" customFormat="false" ht="15" hidden="false" customHeight="false" outlineLevel="0" collapsed="false">
      <c r="A97" s="9"/>
      <c r="B97" s="9"/>
      <c r="C97" s="9"/>
      <c r="D97" s="10"/>
    </row>
    <row r="98" customFormat="false" ht="15" hidden="false" customHeight="false" outlineLevel="0" collapsed="false">
      <c r="A98" s="9"/>
      <c r="B98" s="9"/>
      <c r="C98" s="9"/>
      <c r="D98" s="10"/>
    </row>
    <row r="99" customFormat="false" ht="15" hidden="false" customHeight="false" outlineLevel="0" collapsed="false">
      <c r="A99" s="9"/>
      <c r="B99" s="9"/>
      <c r="C99" s="9"/>
      <c r="D99" s="10"/>
    </row>
    <row r="100" customFormat="false" ht="15" hidden="false" customHeight="false" outlineLevel="0" collapsed="false">
      <c r="A100" s="9"/>
      <c r="B100" s="9"/>
      <c r="C100" s="9"/>
      <c r="D100" s="10"/>
    </row>
    <row r="101" customFormat="false" ht="15" hidden="false" customHeight="false" outlineLevel="0" collapsed="false">
      <c r="A101" s="9"/>
      <c r="B101" s="9"/>
      <c r="C101" s="9"/>
      <c r="D101" s="10"/>
    </row>
    <row r="102" customFormat="false" ht="15" hidden="false" customHeight="false" outlineLevel="0" collapsed="false">
      <c r="A102" s="9"/>
      <c r="B102" s="9"/>
      <c r="C102" s="9"/>
      <c r="D102" s="10"/>
    </row>
    <row r="103" customFormat="false" ht="15" hidden="false" customHeight="false" outlineLevel="0" collapsed="false">
      <c r="A103" s="9"/>
      <c r="B103" s="9"/>
      <c r="C103" s="9"/>
      <c r="D103" s="10"/>
    </row>
    <row r="104" customFormat="false" ht="15" hidden="false" customHeight="false" outlineLevel="0" collapsed="false">
      <c r="A104" s="9"/>
      <c r="B104" s="9"/>
      <c r="C104" s="9"/>
      <c r="D104" s="10"/>
    </row>
    <row r="105" customFormat="false" ht="15" hidden="false" customHeight="false" outlineLevel="0" collapsed="false">
      <c r="A105" s="9"/>
      <c r="B105" s="9"/>
      <c r="C105" s="9"/>
      <c r="D105" s="10"/>
    </row>
    <row r="106" customFormat="false" ht="15" hidden="false" customHeight="false" outlineLevel="0" collapsed="false">
      <c r="A106" s="9"/>
      <c r="B106" s="9"/>
      <c r="C106" s="9"/>
      <c r="D106" s="10"/>
    </row>
    <row r="107" customFormat="false" ht="15" hidden="false" customHeight="false" outlineLevel="0" collapsed="false">
      <c r="A107" s="9"/>
      <c r="B107" s="9"/>
      <c r="C107" s="9"/>
      <c r="D107" s="10"/>
    </row>
    <row r="108" customFormat="false" ht="15" hidden="false" customHeight="false" outlineLevel="0" collapsed="false">
      <c r="A108" s="9"/>
      <c r="B108" s="9"/>
      <c r="C108" s="9"/>
      <c r="D108" s="10"/>
    </row>
    <row r="109" customFormat="false" ht="15" hidden="false" customHeight="false" outlineLevel="0" collapsed="false">
      <c r="A109" s="9"/>
      <c r="B109" s="9"/>
      <c r="C109" s="9"/>
      <c r="D109" s="10"/>
    </row>
    <row r="110" customFormat="false" ht="15" hidden="false" customHeight="false" outlineLevel="0" collapsed="false">
      <c r="A110" s="9"/>
      <c r="B110" s="9"/>
      <c r="C110" s="9"/>
      <c r="D110" s="10"/>
    </row>
    <row r="111" customFormat="false" ht="15" hidden="false" customHeight="false" outlineLevel="0" collapsed="false">
      <c r="A111" s="9"/>
      <c r="B111" s="9"/>
      <c r="C111" s="9"/>
      <c r="D111" s="10"/>
    </row>
    <row r="112" customFormat="false" ht="15" hidden="false" customHeight="false" outlineLevel="0" collapsed="false">
      <c r="A112" s="9"/>
      <c r="B112" s="9"/>
      <c r="C112" s="9"/>
      <c r="D112" s="10"/>
    </row>
    <row r="113" customFormat="false" ht="15" hidden="false" customHeight="false" outlineLevel="0" collapsed="false">
      <c r="A113" s="9"/>
      <c r="B113" s="9"/>
      <c r="C113" s="9"/>
      <c r="D113" s="10"/>
    </row>
    <row r="114" customFormat="false" ht="15" hidden="false" customHeight="false" outlineLevel="0" collapsed="false">
      <c r="A114" s="9"/>
      <c r="B114" s="9"/>
      <c r="C114" s="9"/>
      <c r="D114" s="10"/>
    </row>
    <row r="115" customFormat="false" ht="15" hidden="false" customHeight="false" outlineLevel="0" collapsed="false">
      <c r="A115" s="9"/>
      <c r="B115" s="9"/>
      <c r="C115" s="9"/>
      <c r="D115" s="10"/>
    </row>
    <row r="116" customFormat="false" ht="15" hidden="false" customHeight="false" outlineLevel="0" collapsed="false">
      <c r="A116" s="9"/>
      <c r="B116" s="9"/>
      <c r="C116" s="9"/>
      <c r="D116" s="10"/>
    </row>
    <row r="117" customFormat="false" ht="15" hidden="false" customHeight="false" outlineLevel="0" collapsed="false">
      <c r="A117" s="9"/>
      <c r="B117" s="9"/>
      <c r="C117" s="9"/>
      <c r="D117" s="10"/>
    </row>
    <row r="118" customFormat="false" ht="15" hidden="false" customHeight="false" outlineLevel="0" collapsed="false">
      <c r="A118" s="9"/>
      <c r="B118" s="9"/>
      <c r="C118" s="9"/>
      <c r="D118" s="10"/>
    </row>
    <row r="119" customFormat="false" ht="15" hidden="false" customHeight="false" outlineLevel="0" collapsed="false">
      <c r="A119" s="9"/>
      <c r="B119" s="9"/>
      <c r="C119" s="9"/>
      <c r="D119" s="10"/>
    </row>
    <row r="120" customFormat="false" ht="15" hidden="false" customHeight="false" outlineLevel="0" collapsed="false">
      <c r="A120" s="9"/>
      <c r="B120" s="9"/>
      <c r="C120" s="9"/>
      <c r="D120" s="10"/>
    </row>
    <row r="121" customFormat="false" ht="15" hidden="false" customHeight="false" outlineLevel="0" collapsed="false">
      <c r="A121" s="9"/>
      <c r="B121" s="9"/>
      <c r="C121" s="9"/>
      <c r="D121" s="10"/>
    </row>
    <row r="122" customFormat="false" ht="15" hidden="false" customHeight="false" outlineLevel="0" collapsed="false">
      <c r="A122" s="9"/>
      <c r="B122" s="9"/>
      <c r="C122" s="9"/>
      <c r="D122" s="10"/>
    </row>
    <row r="123" customFormat="false" ht="15" hidden="false" customHeight="false" outlineLevel="0" collapsed="false">
      <c r="A123" s="9"/>
      <c r="B123" s="9"/>
      <c r="C123" s="9"/>
      <c r="D123" s="10"/>
    </row>
    <row r="124" customFormat="false" ht="15" hidden="false" customHeight="false" outlineLevel="0" collapsed="false">
      <c r="A124" s="9"/>
      <c r="B124" s="9"/>
      <c r="C124" s="9"/>
      <c r="D124" s="10"/>
    </row>
    <row r="125" customFormat="false" ht="15" hidden="false" customHeight="false" outlineLevel="0" collapsed="false">
      <c r="A125" s="9"/>
      <c r="B125" s="9"/>
      <c r="C125" s="9"/>
      <c r="D125" s="10"/>
    </row>
    <row r="126" customFormat="false" ht="15" hidden="false" customHeight="false" outlineLevel="0" collapsed="false">
      <c r="A126" s="9"/>
      <c r="B126" s="9"/>
      <c r="C126" s="9"/>
      <c r="D126" s="10"/>
    </row>
    <row r="127" customFormat="false" ht="15" hidden="false" customHeight="false" outlineLevel="0" collapsed="false">
      <c r="A127" s="9"/>
      <c r="B127" s="9"/>
      <c r="C127" s="9"/>
      <c r="D127" s="10"/>
    </row>
    <row r="128" customFormat="false" ht="15" hidden="false" customHeight="false" outlineLevel="0" collapsed="false">
      <c r="A128" s="9"/>
      <c r="B128" s="9"/>
      <c r="C128" s="9"/>
      <c r="D128" s="10"/>
    </row>
    <row r="129" customFormat="false" ht="15" hidden="false" customHeight="false" outlineLevel="0" collapsed="false">
      <c r="A129" s="9"/>
      <c r="B129" s="9"/>
      <c r="C129" s="9"/>
      <c r="D129" s="10"/>
    </row>
    <row r="130" customFormat="false" ht="15" hidden="false" customHeight="false" outlineLevel="0" collapsed="false">
      <c r="A130" s="9"/>
      <c r="B130" s="9"/>
      <c r="C130" s="9"/>
      <c r="D130" s="10"/>
    </row>
    <row r="131" customFormat="false" ht="15" hidden="false" customHeight="false" outlineLevel="0" collapsed="false">
      <c r="A131" s="9"/>
      <c r="B131" s="9"/>
      <c r="C131" s="9"/>
      <c r="D131" s="10"/>
    </row>
    <row r="132" customFormat="false" ht="15" hidden="false" customHeight="false" outlineLevel="0" collapsed="false">
      <c r="A132" s="9"/>
      <c r="B132" s="9"/>
      <c r="C132" s="9"/>
      <c r="D132" s="10"/>
    </row>
    <row r="133" customFormat="false" ht="15" hidden="false" customHeight="false" outlineLevel="0" collapsed="false">
      <c r="A133" s="9"/>
      <c r="B133" s="9"/>
      <c r="C133" s="9"/>
      <c r="D133" s="10"/>
    </row>
    <row r="134" customFormat="false" ht="15" hidden="false" customHeight="false" outlineLevel="0" collapsed="false">
      <c r="A134" s="9"/>
      <c r="B134" s="9"/>
      <c r="C134" s="9"/>
      <c r="D134" s="10"/>
    </row>
    <row r="135" customFormat="false" ht="15" hidden="false" customHeight="false" outlineLevel="0" collapsed="false">
      <c r="A135" s="9"/>
      <c r="B135" s="9"/>
      <c r="C135" s="9"/>
      <c r="D135" s="10"/>
    </row>
    <row r="136" customFormat="false" ht="15" hidden="false" customHeight="false" outlineLevel="0" collapsed="false">
      <c r="A136" s="9"/>
      <c r="B136" s="9"/>
      <c r="C136" s="9"/>
      <c r="D136" s="10"/>
    </row>
    <row r="137" customFormat="false" ht="15" hidden="false" customHeight="false" outlineLevel="0" collapsed="false">
      <c r="A137" s="9"/>
      <c r="B137" s="9"/>
      <c r="C137" s="9"/>
      <c r="D137" s="10"/>
    </row>
    <row r="138" customFormat="false" ht="15" hidden="false" customHeight="false" outlineLevel="0" collapsed="false">
      <c r="A138" s="9"/>
      <c r="B138" s="9"/>
      <c r="C138" s="9"/>
      <c r="D138" s="10"/>
    </row>
    <row r="139" customFormat="false" ht="15" hidden="false" customHeight="false" outlineLevel="0" collapsed="false">
      <c r="A139" s="9"/>
      <c r="B139" s="9"/>
      <c r="C139" s="9"/>
      <c r="D139" s="10"/>
    </row>
    <row r="140" customFormat="false" ht="15" hidden="false" customHeight="false" outlineLevel="0" collapsed="false">
      <c r="A140" s="9"/>
      <c r="B140" s="9"/>
      <c r="C140" s="9"/>
      <c r="D140" s="10"/>
    </row>
    <row r="141" customFormat="false" ht="15" hidden="false" customHeight="false" outlineLevel="0" collapsed="false">
      <c r="A141" s="9"/>
      <c r="B141" s="9"/>
      <c r="C141" s="9"/>
      <c r="D141" s="10"/>
    </row>
    <row r="142" customFormat="false" ht="15" hidden="false" customHeight="false" outlineLevel="0" collapsed="false">
      <c r="A142" s="9"/>
      <c r="B142" s="9"/>
      <c r="C142" s="9"/>
      <c r="D142" s="10"/>
    </row>
    <row r="143" customFormat="false" ht="15" hidden="false" customHeight="false" outlineLevel="0" collapsed="false">
      <c r="A143" s="9"/>
      <c r="B143" s="9"/>
      <c r="C143" s="9"/>
      <c r="D143" s="10"/>
    </row>
    <row r="144" customFormat="false" ht="15" hidden="false" customHeight="false" outlineLevel="0" collapsed="false">
      <c r="A144" s="9"/>
      <c r="B144" s="9"/>
      <c r="C144" s="9"/>
      <c r="D144" s="10"/>
    </row>
    <row r="145" customFormat="false" ht="15" hidden="false" customHeight="false" outlineLevel="0" collapsed="false">
      <c r="A145" s="9"/>
      <c r="B145" s="9"/>
      <c r="C145" s="9"/>
      <c r="D145" s="10"/>
    </row>
    <row r="146" customFormat="false" ht="15" hidden="false" customHeight="false" outlineLevel="0" collapsed="false">
      <c r="A146" s="9"/>
      <c r="B146" s="9"/>
      <c r="C146" s="9"/>
      <c r="D146" s="10"/>
    </row>
    <row r="147" customFormat="false" ht="15" hidden="false" customHeight="false" outlineLevel="0" collapsed="false">
      <c r="A147" s="9"/>
      <c r="B147" s="9"/>
      <c r="C147" s="9"/>
      <c r="D147" s="10"/>
    </row>
    <row r="148" customFormat="false" ht="15" hidden="false" customHeight="false" outlineLevel="0" collapsed="false">
      <c r="A148" s="9"/>
      <c r="B148" s="9"/>
      <c r="C148" s="9"/>
      <c r="D148" s="10"/>
    </row>
    <row r="149" customFormat="false" ht="15" hidden="false" customHeight="false" outlineLevel="0" collapsed="false">
      <c r="A149" s="9"/>
      <c r="B149" s="9"/>
      <c r="C149" s="9"/>
      <c r="D149" s="10"/>
    </row>
    <row r="150" customFormat="false" ht="15" hidden="false" customHeight="false" outlineLevel="0" collapsed="false">
      <c r="A150" s="9"/>
      <c r="B150" s="9"/>
      <c r="C150" s="9"/>
      <c r="D150" s="10"/>
    </row>
    <row r="151" customFormat="false" ht="15" hidden="false" customHeight="false" outlineLevel="0" collapsed="false">
      <c r="A151" s="9"/>
      <c r="B151" s="9"/>
      <c r="C151" s="9"/>
      <c r="D151" s="10"/>
    </row>
    <row r="152" customFormat="false" ht="15" hidden="false" customHeight="false" outlineLevel="0" collapsed="false">
      <c r="A152" s="9"/>
      <c r="B152" s="9"/>
      <c r="C152" s="9"/>
      <c r="D152" s="10"/>
    </row>
    <row r="153" customFormat="false" ht="15" hidden="false" customHeight="false" outlineLevel="0" collapsed="false">
      <c r="A153" s="9"/>
      <c r="B153" s="9"/>
      <c r="C153" s="9"/>
      <c r="D153" s="10"/>
    </row>
    <row r="154" customFormat="false" ht="15" hidden="false" customHeight="false" outlineLevel="0" collapsed="false">
      <c r="A154" s="9"/>
      <c r="B154" s="9"/>
      <c r="C154" s="9"/>
      <c r="D154" s="10"/>
    </row>
    <row r="155" customFormat="false" ht="15" hidden="false" customHeight="false" outlineLevel="0" collapsed="false">
      <c r="A155" s="9"/>
      <c r="B155" s="9"/>
      <c r="C155" s="9"/>
      <c r="D155" s="10"/>
    </row>
    <row r="156" customFormat="false" ht="15" hidden="false" customHeight="false" outlineLevel="0" collapsed="false">
      <c r="A156" s="9"/>
      <c r="B156" s="9"/>
      <c r="C156" s="9"/>
      <c r="D156" s="10"/>
    </row>
    <row r="157" customFormat="false" ht="15" hidden="false" customHeight="false" outlineLevel="0" collapsed="false">
      <c r="A157" s="9"/>
      <c r="B157" s="9"/>
      <c r="C157" s="9"/>
      <c r="D157" s="10"/>
    </row>
    <row r="158" customFormat="false" ht="15" hidden="false" customHeight="false" outlineLevel="0" collapsed="false">
      <c r="A158" s="9"/>
      <c r="B158" s="9"/>
      <c r="C158" s="9"/>
      <c r="D158" s="10"/>
    </row>
    <row r="159" customFormat="false" ht="15" hidden="false" customHeight="false" outlineLevel="0" collapsed="false">
      <c r="A159" s="9"/>
      <c r="B159" s="9"/>
      <c r="C159" s="9"/>
      <c r="D159" s="10"/>
    </row>
    <row r="160" customFormat="false" ht="15" hidden="false" customHeight="false" outlineLevel="0" collapsed="false">
      <c r="A160" s="9"/>
      <c r="B160" s="9"/>
      <c r="C160" s="9"/>
      <c r="D160" s="10"/>
    </row>
    <row r="161" customFormat="false" ht="15" hidden="false" customHeight="false" outlineLevel="0" collapsed="false">
      <c r="A161" s="9"/>
      <c r="B161" s="9"/>
      <c r="C161" s="9"/>
      <c r="D161" s="10"/>
    </row>
    <row r="162" customFormat="false" ht="15" hidden="false" customHeight="false" outlineLevel="0" collapsed="false">
      <c r="A162" s="9"/>
      <c r="B162" s="9"/>
      <c r="C162" s="9"/>
      <c r="D162" s="10"/>
    </row>
    <row r="163" customFormat="false" ht="15" hidden="false" customHeight="false" outlineLevel="0" collapsed="false">
      <c r="A163" s="9"/>
      <c r="B163" s="9"/>
      <c r="C163" s="9"/>
      <c r="D163" s="10"/>
    </row>
    <row r="164" customFormat="false" ht="15" hidden="false" customHeight="false" outlineLevel="0" collapsed="false">
      <c r="A164" s="9"/>
      <c r="B164" s="9"/>
      <c r="C164" s="9"/>
      <c r="D164" s="10"/>
    </row>
    <row r="165" customFormat="false" ht="15" hidden="false" customHeight="false" outlineLevel="0" collapsed="false">
      <c r="A165" s="9"/>
      <c r="B165" s="9"/>
      <c r="C165" s="9"/>
      <c r="D165" s="10"/>
    </row>
    <row r="166" customFormat="false" ht="15" hidden="false" customHeight="false" outlineLevel="0" collapsed="false">
      <c r="A166" s="9"/>
      <c r="B166" s="9"/>
      <c r="C166" s="9"/>
      <c r="D166" s="10"/>
    </row>
    <row r="167" customFormat="false" ht="15" hidden="false" customHeight="false" outlineLevel="0" collapsed="false">
      <c r="A167" s="9"/>
      <c r="B167" s="9"/>
      <c r="C167" s="9"/>
      <c r="D167" s="10"/>
    </row>
    <row r="168" customFormat="false" ht="15" hidden="false" customHeight="false" outlineLevel="0" collapsed="false">
      <c r="A168" s="9"/>
      <c r="B168" s="9"/>
      <c r="C168" s="9"/>
      <c r="D168" s="10"/>
    </row>
    <row r="169" customFormat="false" ht="15" hidden="false" customHeight="false" outlineLevel="0" collapsed="false">
      <c r="A169" s="9"/>
      <c r="B169" s="9"/>
      <c r="C169" s="9"/>
      <c r="D169" s="10"/>
    </row>
    <row r="170" customFormat="false" ht="15" hidden="false" customHeight="false" outlineLevel="0" collapsed="false">
      <c r="A170" s="9"/>
      <c r="B170" s="9"/>
      <c r="C170" s="9"/>
      <c r="D170" s="10"/>
    </row>
    <row r="171" customFormat="false" ht="15" hidden="false" customHeight="false" outlineLevel="0" collapsed="false">
      <c r="A171" s="9"/>
      <c r="B171" s="9"/>
      <c r="C171" s="9"/>
      <c r="D171" s="10"/>
    </row>
    <row r="172" customFormat="false" ht="15" hidden="false" customHeight="false" outlineLevel="0" collapsed="false">
      <c r="A172" s="9"/>
      <c r="B172" s="9"/>
      <c r="C172" s="9"/>
      <c r="D172" s="10"/>
    </row>
    <row r="173" customFormat="false" ht="15" hidden="false" customHeight="false" outlineLevel="0" collapsed="false">
      <c r="A173" s="9"/>
      <c r="B173" s="9"/>
      <c r="C173" s="9"/>
      <c r="D173" s="10"/>
    </row>
    <row r="174" customFormat="false" ht="15" hidden="false" customHeight="false" outlineLevel="0" collapsed="false">
      <c r="A174" s="9"/>
      <c r="B174" s="9"/>
      <c r="C174" s="9"/>
      <c r="D174" s="10"/>
    </row>
    <row r="175" customFormat="false" ht="15" hidden="false" customHeight="false" outlineLevel="0" collapsed="false">
      <c r="A175" s="9"/>
      <c r="B175" s="9"/>
      <c r="C175" s="9"/>
      <c r="D175" s="10"/>
    </row>
    <row r="176" customFormat="false" ht="15" hidden="false" customHeight="false" outlineLevel="0" collapsed="false">
      <c r="A176" s="9"/>
      <c r="B176" s="9"/>
      <c r="C176" s="9"/>
      <c r="D176" s="10"/>
    </row>
    <row r="177" customFormat="false" ht="15" hidden="false" customHeight="false" outlineLevel="0" collapsed="false">
      <c r="A177" s="9"/>
      <c r="B177" s="9"/>
      <c r="C177" s="9"/>
      <c r="D177" s="10"/>
    </row>
    <row r="178" customFormat="false" ht="15" hidden="false" customHeight="false" outlineLevel="0" collapsed="false">
      <c r="A178" s="9"/>
      <c r="B178" s="9"/>
      <c r="C178" s="9"/>
      <c r="D178" s="10"/>
    </row>
    <row r="179" customFormat="false" ht="15" hidden="false" customHeight="false" outlineLevel="0" collapsed="false">
      <c r="A179" s="9"/>
      <c r="B179" s="9"/>
      <c r="C179" s="9"/>
      <c r="D179" s="10"/>
    </row>
    <row r="180" customFormat="false" ht="15" hidden="false" customHeight="false" outlineLevel="0" collapsed="false">
      <c r="A180" s="9"/>
      <c r="B180" s="9"/>
      <c r="C180" s="9"/>
      <c r="D180" s="10"/>
    </row>
    <row r="181" customFormat="false" ht="15" hidden="false" customHeight="false" outlineLevel="0" collapsed="false">
      <c r="A181" s="9"/>
      <c r="B181" s="9"/>
      <c r="C181" s="9"/>
      <c r="D181" s="10"/>
    </row>
    <row r="182" customFormat="false" ht="15" hidden="false" customHeight="false" outlineLevel="0" collapsed="false">
      <c r="A182" s="9"/>
      <c r="B182" s="9"/>
      <c r="C182" s="9"/>
      <c r="D182" s="10"/>
    </row>
    <row r="183" customFormat="false" ht="15" hidden="false" customHeight="false" outlineLevel="0" collapsed="false">
      <c r="A183" s="9"/>
      <c r="B183" s="9"/>
      <c r="C183" s="9"/>
      <c r="D183" s="10"/>
    </row>
    <row r="184" customFormat="false" ht="15" hidden="false" customHeight="false" outlineLevel="0" collapsed="false">
      <c r="A184" s="9"/>
      <c r="B184" s="9"/>
      <c r="C184" s="9"/>
      <c r="D184" s="10"/>
    </row>
    <row r="185" customFormat="false" ht="15" hidden="false" customHeight="false" outlineLevel="0" collapsed="false">
      <c r="A185" s="9"/>
      <c r="B185" s="9"/>
      <c r="C185" s="9"/>
      <c r="D185" s="10"/>
    </row>
    <row r="186" customFormat="false" ht="15" hidden="false" customHeight="false" outlineLevel="0" collapsed="false">
      <c r="A186" s="9"/>
      <c r="B186" s="9"/>
      <c r="C186" s="9"/>
      <c r="D186" s="10"/>
    </row>
    <row r="187" customFormat="false" ht="15" hidden="false" customHeight="false" outlineLevel="0" collapsed="false">
      <c r="A187" s="9"/>
      <c r="B187" s="9"/>
      <c r="C187" s="9"/>
      <c r="D187" s="10"/>
    </row>
    <row r="188" customFormat="false" ht="15" hidden="false" customHeight="false" outlineLevel="0" collapsed="false">
      <c r="A188" s="9"/>
      <c r="B188" s="9"/>
      <c r="C188" s="9"/>
      <c r="D188" s="10"/>
    </row>
    <row r="189" customFormat="false" ht="15" hidden="false" customHeight="false" outlineLevel="0" collapsed="false">
      <c r="A189" s="9"/>
      <c r="B189" s="9"/>
      <c r="C189" s="9"/>
      <c r="D189" s="10"/>
    </row>
    <row r="190" customFormat="false" ht="15" hidden="false" customHeight="false" outlineLevel="0" collapsed="false">
      <c r="A190" s="9"/>
      <c r="B190" s="9"/>
      <c r="C190" s="9"/>
      <c r="D190" s="10"/>
    </row>
    <row r="191" customFormat="false" ht="15" hidden="false" customHeight="false" outlineLevel="0" collapsed="false">
      <c r="A191" s="9"/>
      <c r="B191" s="9"/>
      <c r="C191" s="9"/>
      <c r="D191" s="10"/>
    </row>
    <row r="192" customFormat="false" ht="15" hidden="false" customHeight="false" outlineLevel="0" collapsed="false">
      <c r="A192" s="9"/>
      <c r="B192" s="9"/>
      <c r="C192" s="9"/>
      <c r="D192" s="10"/>
    </row>
    <row r="193" customFormat="false" ht="15" hidden="false" customHeight="false" outlineLevel="0" collapsed="false">
      <c r="A193" s="9"/>
      <c r="B193" s="9"/>
      <c r="C193" s="9"/>
      <c r="D193" s="10"/>
    </row>
    <row r="194" customFormat="false" ht="15" hidden="false" customHeight="false" outlineLevel="0" collapsed="false">
      <c r="A194" s="9"/>
      <c r="B194" s="9"/>
      <c r="C194" s="9"/>
      <c r="D194" s="10"/>
    </row>
    <row r="195" customFormat="false" ht="15" hidden="false" customHeight="false" outlineLevel="0" collapsed="false">
      <c r="A195" s="9"/>
      <c r="B195" s="9"/>
      <c r="C195" s="9"/>
      <c r="D195" s="10"/>
    </row>
    <row r="196" customFormat="false" ht="15" hidden="false" customHeight="false" outlineLevel="0" collapsed="false">
      <c r="A196" s="9"/>
      <c r="B196" s="9"/>
      <c r="C196" s="9"/>
      <c r="D196" s="10"/>
    </row>
    <row r="197" customFormat="false" ht="15" hidden="false" customHeight="false" outlineLevel="0" collapsed="false">
      <c r="A197" s="9"/>
      <c r="B197" s="9"/>
      <c r="C197" s="9"/>
      <c r="D197" s="10"/>
    </row>
    <row r="198" customFormat="false" ht="15" hidden="false" customHeight="false" outlineLevel="0" collapsed="false">
      <c r="A198" s="9"/>
      <c r="B198" s="9"/>
      <c r="C198" s="9"/>
      <c r="D198" s="10"/>
    </row>
    <row r="199" customFormat="false" ht="15" hidden="false" customHeight="false" outlineLevel="0" collapsed="false">
      <c r="A199" s="9"/>
      <c r="B199" s="9"/>
      <c r="C199" s="9"/>
      <c r="D199" s="10"/>
    </row>
    <row r="200" customFormat="false" ht="15" hidden="false" customHeight="false" outlineLevel="0" collapsed="false">
      <c r="A200" s="9"/>
      <c r="B200" s="9"/>
      <c r="C200" s="9"/>
      <c r="D200" s="10"/>
    </row>
    <row r="201" customFormat="false" ht="15" hidden="false" customHeight="false" outlineLevel="0" collapsed="false">
      <c r="A201" s="9"/>
      <c r="B201" s="9"/>
      <c r="C201" s="9"/>
      <c r="D201" s="10"/>
    </row>
    <row r="202" customFormat="false" ht="15" hidden="false" customHeight="false" outlineLevel="0" collapsed="false">
      <c r="A202" s="9"/>
      <c r="B202" s="9"/>
      <c r="C202" s="9"/>
      <c r="D202" s="10"/>
    </row>
    <row r="203" customFormat="false" ht="15" hidden="false" customHeight="false" outlineLevel="0" collapsed="false">
      <c r="A203" s="9"/>
      <c r="B203" s="9"/>
      <c r="C203" s="9"/>
      <c r="D203" s="10"/>
    </row>
    <row r="204" customFormat="false" ht="15" hidden="false" customHeight="false" outlineLevel="0" collapsed="false">
      <c r="A204" s="9"/>
      <c r="B204" s="9"/>
      <c r="C204" s="9"/>
      <c r="D204" s="10"/>
    </row>
    <row r="205" customFormat="false" ht="15" hidden="false" customHeight="false" outlineLevel="0" collapsed="false">
      <c r="A205" s="9"/>
      <c r="B205" s="9"/>
      <c r="C205" s="9"/>
      <c r="D205" s="10"/>
    </row>
    <row r="206" customFormat="false" ht="15" hidden="false" customHeight="false" outlineLevel="0" collapsed="false">
      <c r="A206" s="9"/>
      <c r="B206" s="9"/>
      <c r="C206" s="9"/>
      <c r="D206" s="10"/>
    </row>
    <row r="207" customFormat="false" ht="15" hidden="false" customHeight="false" outlineLevel="0" collapsed="false">
      <c r="A207" s="9"/>
      <c r="B207" s="9"/>
      <c r="C207" s="9"/>
      <c r="D20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2026-08-12T13:11:33Z</dcterms:created>
  <dc:creator>openpyxl</dc:creator>
  <dc:description/>
  <dc:language>en-US</dc:language>
  <cp:lastModifiedBy/>
  <dcterms:modified xsi:type="dcterms:W3CDTF">2026-08-12T13:11:34Z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